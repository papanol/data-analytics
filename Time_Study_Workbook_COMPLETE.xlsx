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nsh\OneDrive\Desktop\SPECTRA\timestudy\"/>
    </mc:Choice>
  </mc:AlternateContent>
  <xr:revisionPtr revIDLastSave="0" documentId="8_{5F280B8F-E503-49B4-A151-1778F9908712}" xr6:coauthVersionLast="47" xr6:coauthVersionMax="47" xr10:uidLastSave="{00000000-0000-0000-0000-000000000000}"/>
  <bookViews>
    <workbookView xWindow="11424" yWindow="0" windowWidth="11712" windowHeight="12336" activeTab="3" xr2:uid="{00000000-000D-0000-FFFF-FFFF00000000}"/>
  </bookViews>
  <sheets>
    <sheet name="TWO PROFILE PICK UP (2)" sheetId="6" r:id="rId1"/>
    <sheet name="SUMMARY" sheetId="1" r:id="rId2"/>
    <sheet name="TWO PROFILE PICK UP" sheetId="2" r:id="rId3"/>
    <sheet name="THREE PROFILE PICK UP" sheetId="3" r:id="rId4"/>
    <sheet name="FOUR PROFILE PICK UP" sheetId="4" r:id="rId5"/>
    <sheet name="TWIST CHECK" sheetId="5" r:id="rId6"/>
  </sheets>
  <calcPr calcId="191029"/>
</workbook>
</file>

<file path=xl/calcChain.xml><?xml version="1.0" encoding="utf-8"?>
<calcChain xmlns="http://schemas.openxmlformats.org/spreadsheetml/2006/main">
  <c r="F35" i="6" l="1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27" i="5"/>
  <c r="F26" i="5"/>
  <c r="F24" i="5"/>
  <c r="F23" i="5"/>
  <c r="F22" i="5"/>
  <c r="F21" i="5"/>
  <c r="F20" i="5"/>
  <c r="F19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61" i="4" s="1"/>
  <c r="F50" i="3"/>
  <c r="F49" i="3"/>
  <c r="F48" i="3"/>
  <c r="F47" i="3"/>
  <c r="F46" i="3"/>
  <c r="F45" i="3"/>
  <c r="F43" i="3"/>
  <c r="F41" i="3"/>
  <c r="F39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7" i="1"/>
  <c r="F37" i="6" l="1"/>
  <c r="B4" i="1"/>
  <c r="D4" i="1" s="1"/>
  <c r="F29" i="5"/>
  <c r="B7" i="1" s="1"/>
  <c r="F52" i="3"/>
  <c r="B5" i="1" s="1"/>
  <c r="D5" i="1" s="1"/>
  <c r="B6" i="1"/>
  <c r="D6" i="1" s="1"/>
</calcChain>
</file>

<file path=xl/sharedStrings.xml><?xml version="1.0" encoding="utf-8"?>
<sst xmlns="http://schemas.openxmlformats.org/spreadsheetml/2006/main" count="335" uniqueCount="156">
  <si>
    <t>Time Study Summary</t>
  </si>
  <si>
    <t>Study</t>
  </si>
  <si>
    <t>Total Avg Time (sec)</t>
  </si>
  <si>
    <t>Profiles per cycle</t>
  </si>
  <si>
    <t>Sec per profile (Avg)</t>
  </si>
  <si>
    <t>TWO PROFILE PICK UP</t>
  </si>
  <si>
    <t>THREE PROFILE PICK UP</t>
  </si>
  <si>
    <t>FOUR PROFILE PICK UP</t>
  </si>
  <si>
    <t>TWIST CHECK</t>
  </si>
  <si>
    <t>Time Study</t>
  </si>
  <si>
    <t>PROCESS ACTION</t>
  </si>
  <si>
    <t>Rework Angel &amp; Gaganpreet  — TWO PROFILE PICK UP</t>
  </si>
  <si>
    <t>Step #</t>
  </si>
  <si>
    <t>Action</t>
  </si>
  <si>
    <t>Trial 1 (sec)</t>
  </si>
  <si>
    <t>Trial 2 (sec)</t>
  </si>
  <si>
    <t>Trial 3 (sec)</t>
  </si>
  <si>
    <t>Avg (sec)</t>
  </si>
  <si>
    <t>Pick up two profiles</t>
  </si>
  <si>
    <t>Walk 4 steps to the press</t>
  </si>
  <si>
    <t>Turn profiles upside down</t>
  </si>
  <si>
    <t>Pick up first profile</t>
  </si>
  <si>
    <t>Turn first profile sideways</t>
  </si>
  <si>
    <t>Place profile</t>
  </si>
  <si>
    <t>Place clamp bar on profile</t>
  </si>
  <si>
    <t>Take two steps away from press towards panel</t>
  </si>
  <si>
    <t>Two hand to start the press</t>
  </si>
  <si>
    <t>Press wait</t>
  </si>
  <si>
    <t>Take two steps toward press</t>
  </si>
  <si>
    <t>Take off clamp and set aside</t>
  </si>
  <si>
    <t>Turn profile to gap side up</t>
  </si>
  <si>
    <t>Pick up second profile</t>
  </si>
  <si>
    <t>Turn sideways</t>
  </si>
  <si>
    <t>Place profile on clamp</t>
  </si>
  <si>
    <t>Take gap measurement on profile 1</t>
  </si>
  <si>
    <t>Take gap measurement on profile 2</t>
  </si>
  <si>
    <t>Turn profile to gap side down</t>
  </si>
  <si>
    <t>Walk 4 steps to rack</t>
  </si>
  <si>
    <t>Place profile down</t>
  </si>
  <si>
    <t>Arrange profile</t>
  </si>
  <si>
    <t>Take two steps to rework bin</t>
  </si>
  <si>
    <t>TOTAL (Avg sec)</t>
  </si>
  <si>
    <t>Rework Angel &amp; Gaganpreet — THREE PROFILE PICK UP</t>
  </si>
  <si>
    <t>Pick up three profiles</t>
  </si>
  <si>
    <t>Pick up third profile</t>
  </si>
  <si>
    <t>Rework Angel &amp; Gaganpreet — FOUR PROFILE PICK UP</t>
  </si>
  <si>
    <t>Pick up four profiles</t>
  </si>
  <si>
    <t>Pick up fourth profile</t>
  </si>
  <si>
    <t>TWIST INSPECTION</t>
  </si>
  <si>
    <t>Pick up profile</t>
  </si>
  <si>
    <t>Take a step towards inspection bench</t>
  </si>
  <si>
    <t>First person places profile in fixed track</t>
  </si>
  <si>
    <t>Second person sets profile down</t>
  </si>
  <si>
    <t>First person holds down profile</t>
  </si>
  <si>
    <t>Second person slides movable track along profile</t>
  </si>
  <si>
    <t>Second person sets track aside</t>
  </si>
  <si>
    <t>First person and second pick profile</t>
  </si>
  <si>
    <t>Walk two steps – place profile on bin</t>
  </si>
  <si>
    <t>Arrange profile on pass bin</t>
  </si>
  <si>
    <t>Take a step towards inspection bin</t>
  </si>
  <si>
    <t>Cycle starts</t>
  </si>
  <si>
    <t>Pick up Normex spacers (both inspectors)</t>
  </si>
  <si>
    <t>Take a step towards pass bin</t>
  </si>
  <si>
    <t>Place spacers on bins</t>
  </si>
  <si>
    <t>Take a step towards inspection bins</t>
  </si>
  <si>
    <t>Cycle continues</t>
  </si>
  <si>
    <t>Second inspector pulls stapper cable</t>
  </si>
  <si>
    <t>Both operators set up</t>
  </si>
  <si>
    <t xml:space="preserve">Place profile </t>
  </si>
  <si>
    <t>Take two steps towards press</t>
  </si>
  <si>
    <t>Take off clamp bar and set aside</t>
  </si>
  <si>
    <t xml:space="preserve">After each row: </t>
  </si>
  <si>
    <t>take towards inspection bin</t>
  </si>
  <si>
    <t>After a bin is complete</t>
  </si>
  <si>
    <t xml:space="preserve"> one inspector picks up corrugated sheet</t>
  </si>
  <si>
    <t>1 sec</t>
  </si>
  <si>
    <t>07:05 -  02:28</t>
  </si>
  <si>
    <t>Lift press bar and Turn first profile sideways and place profile</t>
  </si>
  <si>
    <t xml:space="preserve"> 15:14</t>
  </si>
  <si>
    <t xml:space="preserve"> </t>
  </si>
  <si>
    <t>Take two steps away from press towards panel A &amp;G</t>
  </si>
  <si>
    <t>20.21 G21: 03</t>
  </si>
  <si>
    <t xml:space="preserve">Secondary checks and hand adjusting </t>
  </si>
  <si>
    <t>1.0.23</t>
  </si>
  <si>
    <t>1.2.19</t>
  </si>
  <si>
    <t xml:space="preserve"> 1.4.6 </t>
  </si>
  <si>
    <t>1.05.16</t>
  </si>
  <si>
    <t>1.7.25</t>
  </si>
  <si>
    <t>1.08.28</t>
  </si>
  <si>
    <t>1.11.9</t>
  </si>
  <si>
    <t>1.12.14</t>
  </si>
  <si>
    <t>1.14.01</t>
  </si>
  <si>
    <t>1.16.17</t>
  </si>
  <si>
    <t>1.18.47</t>
  </si>
  <si>
    <t>1.23.12</t>
  </si>
  <si>
    <t>1.27.20</t>
  </si>
  <si>
    <t>1.28.05</t>
  </si>
  <si>
    <t>After Row Spacers</t>
  </si>
  <si>
    <t>1.30.2</t>
  </si>
  <si>
    <t>Removing Spacers</t>
  </si>
  <si>
    <t>1.40.40</t>
  </si>
  <si>
    <t>1.42.01</t>
  </si>
  <si>
    <t>1.41.25</t>
  </si>
  <si>
    <t>1.50.18</t>
  </si>
  <si>
    <t>1.52.11</t>
  </si>
  <si>
    <t>1.53.25</t>
  </si>
  <si>
    <t>1.55.01</t>
  </si>
  <si>
    <t>1.57.06</t>
  </si>
  <si>
    <t>1.58.09</t>
  </si>
  <si>
    <t>1.59.17</t>
  </si>
  <si>
    <t>2.1.8</t>
  </si>
  <si>
    <t>2.2.13</t>
  </si>
  <si>
    <t>2.4.22</t>
  </si>
  <si>
    <t xml:space="preserve">2.05.26 </t>
  </si>
  <si>
    <t>2.07.22</t>
  </si>
  <si>
    <t>2.08.20</t>
  </si>
  <si>
    <t>2.10.10</t>
  </si>
  <si>
    <t>2.13.10</t>
  </si>
  <si>
    <t>2.15.25</t>
  </si>
  <si>
    <t>2.31.18</t>
  </si>
  <si>
    <t>2.32.05</t>
  </si>
  <si>
    <t>2.35.00</t>
  </si>
  <si>
    <t>2.37.03</t>
  </si>
  <si>
    <t>6.1.28</t>
  </si>
  <si>
    <t>6.10.15</t>
  </si>
  <si>
    <t>6.12.11</t>
  </si>
  <si>
    <t>6.13.24</t>
  </si>
  <si>
    <t>6.15.16</t>
  </si>
  <si>
    <t>6.16.24</t>
  </si>
  <si>
    <t>6.19.08</t>
  </si>
  <si>
    <t>6.20.04</t>
  </si>
  <si>
    <t>6.22.02</t>
  </si>
  <si>
    <t>6.23.06</t>
  </si>
  <si>
    <t>6.24.23</t>
  </si>
  <si>
    <t>6.27.4</t>
  </si>
  <si>
    <t>6.28.16</t>
  </si>
  <si>
    <t>6.33.10</t>
  </si>
  <si>
    <t>6.34.4</t>
  </si>
  <si>
    <t>6.36.22</t>
  </si>
  <si>
    <t>Take gap measurement on profile 3</t>
  </si>
  <si>
    <t>2.14.3</t>
  </si>
  <si>
    <t>6.38.21</t>
  </si>
  <si>
    <t>6.42.11</t>
  </si>
  <si>
    <t>6.43.08</t>
  </si>
  <si>
    <t>6.54.22</t>
  </si>
  <si>
    <t>6.58.06</t>
  </si>
  <si>
    <t>6.55.25</t>
  </si>
  <si>
    <t>6.59.18</t>
  </si>
  <si>
    <t>Pick up two profiles at a time</t>
  </si>
  <si>
    <t>Walk to the press</t>
  </si>
  <si>
    <t>Set profiles gap side up on the rail</t>
  </si>
  <si>
    <t>Pick clamp bar with the one hand</t>
  </si>
  <si>
    <t>Pick up profile and place side ways on the press with the other hand and place clamp bar on it</t>
  </si>
  <si>
    <t xml:space="preserve">Pick up clamp bar with one hand </t>
  </si>
  <si>
    <t>Pick up first profile and place it on the rail</t>
  </si>
  <si>
    <t>pick up second profile and place it on the clamp, put the clamp bar on the second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</si>
</sst>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20" fontId="0" fillId="0" borderId="1" xfId="0" applyNumberFormat="1" applyBorder="1" applyAlignment="1">
      <alignment horizontal="center" vertical="top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top"/>
    </xf>
    <xf numFmtId="0" fontId="0" fillId="0" borderId="1" xfId="0" applyNumberFormat="1" applyBorder="1"/>
    <xf numFmtId="0" fontId="0" fillId="0" borderId="0" xfId="0" applyNumberFormat="1"/>
    <xf numFmtId="0" fontId="0" fillId="0" borderId="2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21CD-8480-43DC-828F-69B63659BAF5}">
  <dimension ref="A1:F39"/>
  <sheetViews>
    <sheetView workbookViewId="0">
      <pane ySplit="4" topLeftCell="A10" activePane="bottomLeft" state="frozen"/>
      <selection pane="bottomLeft" activeCell="B14" sqref="B14"/>
    </sheetView>
  </sheetViews>
  <sheetFormatPr defaultRowHeight="14.4" x14ac:dyDescent="0.3"/>
  <cols>
    <col min="1" max="1" width="8" customWidth="1"/>
    <col min="2" max="2" width="55" customWidth="1"/>
    <col min="3" max="3" width="14" style="21" customWidth="1"/>
    <col min="4" max="5" width="14" customWidth="1"/>
    <col min="6" max="6" width="12" customWidth="1"/>
  </cols>
  <sheetData>
    <row r="1" spans="1:6" ht="18" x14ac:dyDescent="0.3">
      <c r="A1" s="15" t="s">
        <v>9</v>
      </c>
      <c r="B1" s="16"/>
      <c r="C1" s="16"/>
      <c r="D1" s="16"/>
      <c r="E1" s="16"/>
      <c r="F1" s="16"/>
    </row>
    <row r="2" spans="1:6" x14ac:dyDescent="0.3">
      <c r="A2" s="11" t="s">
        <v>10</v>
      </c>
      <c r="B2" s="10"/>
      <c r="C2" s="10"/>
      <c r="D2" s="10"/>
      <c r="E2" s="10"/>
      <c r="F2" s="10"/>
    </row>
    <row r="3" spans="1:6" x14ac:dyDescent="0.3">
      <c r="A3" s="11" t="s">
        <v>11</v>
      </c>
      <c r="B3" s="10"/>
      <c r="C3" s="10"/>
      <c r="D3" s="10"/>
      <c r="E3" s="10"/>
      <c r="F3" s="10"/>
    </row>
    <row r="4" spans="1:6" x14ac:dyDescent="0.3">
      <c r="A4" s="3" t="s">
        <v>12</v>
      </c>
      <c r="B4" s="3" t="s">
        <v>13</v>
      </c>
      <c r="C4" s="18" t="s">
        <v>14</v>
      </c>
      <c r="D4" s="3" t="s">
        <v>15</v>
      </c>
      <c r="E4" s="3" t="s">
        <v>16</v>
      </c>
      <c r="F4" s="3" t="s">
        <v>17</v>
      </c>
    </row>
    <row r="5" spans="1:6" x14ac:dyDescent="0.3">
      <c r="A5" s="4">
        <v>1</v>
      </c>
      <c r="B5" s="5" t="s">
        <v>148</v>
      </c>
      <c r="C5" s="19">
        <v>2.2799999999999998</v>
      </c>
      <c r="D5" s="4">
        <v>50.07</v>
      </c>
      <c r="E5" s="4" t="s">
        <v>101</v>
      </c>
      <c r="F5" s="4">
        <f t="shared" ref="F5:F35" si="0">IF(COUNT(C5:E5)=0,"",AVERAGE(C5:E5))</f>
        <v>26.175000000000001</v>
      </c>
    </row>
    <row r="6" spans="1:6" x14ac:dyDescent="0.3">
      <c r="A6" s="4">
        <v>2</v>
      </c>
      <c r="B6" s="5" t="s">
        <v>149</v>
      </c>
      <c r="C6" s="19">
        <v>7.05</v>
      </c>
      <c r="D6" s="4">
        <v>55.3</v>
      </c>
      <c r="E6" s="4"/>
      <c r="F6" s="4">
        <f t="shared" si="0"/>
        <v>31.174999999999997</v>
      </c>
    </row>
    <row r="7" spans="1:6" x14ac:dyDescent="0.3">
      <c r="A7" s="4">
        <v>3</v>
      </c>
      <c r="B7" s="5" t="s">
        <v>150</v>
      </c>
      <c r="C7" s="19">
        <v>7.33</v>
      </c>
      <c r="D7" s="4">
        <v>56</v>
      </c>
      <c r="E7" s="4"/>
      <c r="F7" s="4">
        <f t="shared" si="0"/>
        <v>31.664999999999999</v>
      </c>
    </row>
    <row r="8" spans="1:6" x14ac:dyDescent="0.3">
      <c r="A8" s="4">
        <v>4</v>
      </c>
      <c r="B8" s="5" t="s">
        <v>151</v>
      </c>
      <c r="C8" s="19">
        <v>8.08</v>
      </c>
      <c r="D8" s="4"/>
      <c r="E8" s="4"/>
      <c r="F8" s="4">
        <f t="shared" si="0"/>
        <v>8.08</v>
      </c>
    </row>
    <row r="9" spans="1:6" ht="28.8" x14ac:dyDescent="0.3">
      <c r="A9" s="4">
        <v>5</v>
      </c>
      <c r="B9" s="5" t="s">
        <v>152</v>
      </c>
      <c r="C9" s="19">
        <v>10.17</v>
      </c>
      <c r="D9" s="4">
        <v>59.09</v>
      </c>
      <c r="E9" s="4"/>
      <c r="F9" s="4">
        <f t="shared" si="0"/>
        <v>34.630000000000003</v>
      </c>
    </row>
    <row r="10" spans="1:6" x14ac:dyDescent="0.3">
      <c r="A10" s="4">
        <v>8</v>
      </c>
      <c r="B10" s="5" t="s">
        <v>25</v>
      </c>
      <c r="C10" s="19">
        <v>13.04</v>
      </c>
      <c r="D10" s="4" t="s">
        <v>83</v>
      </c>
      <c r="E10" s="4"/>
      <c r="F10" s="4">
        <f t="shared" si="0"/>
        <v>13.04</v>
      </c>
    </row>
    <row r="11" spans="1:6" x14ac:dyDescent="0.3">
      <c r="A11" s="4">
        <v>9</v>
      </c>
      <c r="B11" s="5" t="s">
        <v>26</v>
      </c>
      <c r="C11" s="19">
        <v>14.06</v>
      </c>
      <c r="D11" s="4"/>
      <c r="E11" s="4"/>
      <c r="F11" s="4">
        <f t="shared" si="0"/>
        <v>14.06</v>
      </c>
    </row>
    <row r="12" spans="1:6" x14ac:dyDescent="0.3">
      <c r="A12" s="4">
        <v>10</v>
      </c>
      <c r="B12" s="5" t="s">
        <v>27</v>
      </c>
      <c r="C12" s="19"/>
      <c r="D12" s="4" t="s">
        <v>84</v>
      </c>
      <c r="E12" s="4"/>
      <c r="F12" s="4" t="str">
        <f t="shared" si="0"/>
        <v/>
      </c>
    </row>
    <row r="13" spans="1:6" x14ac:dyDescent="0.3">
      <c r="A13" s="4">
        <v>11</v>
      </c>
      <c r="B13" s="5" t="s">
        <v>153</v>
      </c>
      <c r="C13" s="19">
        <v>15.14</v>
      </c>
      <c r="D13" s="4" t="s">
        <v>85</v>
      </c>
      <c r="E13" s="4"/>
      <c r="F13" s="4">
        <f t="shared" si="0"/>
        <v>15.14</v>
      </c>
    </row>
    <row r="14" spans="1:6" x14ac:dyDescent="0.3">
      <c r="A14" s="4">
        <v>12</v>
      </c>
      <c r="B14" s="5" t="s">
        <v>154</v>
      </c>
      <c r="C14" s="19">
        <v>16.27</v>
      </c>
      <c r="D14" s="4"/>
      <c r="E14" s="4"/>
      <c r="F14" s="4">
        <f>IF(COUNT(C14:E14)=0,"",AVERAGE(C14:E14))</f>
        <v>16.27</v>
      </c>
    </row>
    <row r="15" spans="1:6" ht="28.8" x14ac:dyDescent="0.3">
      <c r="A15" s="4">
        <v>14</v>
      </c>
      <c r="B15" s="5" t="s">
        <v>155</v>
      </c>
      <c r="E15" s="4"/>
      <c r="F15" s="4" t="str">
        <f t="shared" si="0"/>
        <v/>
      </c>
    </row>
    <row r="16" spans="1:6" x14ac:dyDescent="0.3">
      <c r="A16" s="4">
        <v>15</v>
      </c>
      <c r="B16" s="5" t="s">
        <v>31</v>
      </c>
      <c r="C16" s="19">
        <v>17.16</v>
      </c>
      <c r="D16" s="4" t="s">
        <v>86</v>
      </c>
      <c r="E16" s="4"/>
      <c r="F16" s="4">
        <f t="shared" si="0"/>
        <v>17.16</v>
      </c>
    </row>
    <row r="17" spans="1:6" x14ac:dyDescent="0.3">
      <c r="A17" s="4">
        <v>16</v>
      </c>
      <c r="B17" s="5" t="s">
        <v>32</v>
      </c>
      <c r="C17" s="19"/>
      <c r="D17" s="4"/>
      <c r="E17" s="4"/>
      <c r="F17" s="4" t="str">
        <f t="shared" si="0"/>
        <v/>
      </c>
    </row>
    <row r="18" spans="1:6" x14ac:dyDescent="0.3">
      <c r="A18" s="4">
        <v>17</v>
      </c>
      <c r="B18" s="5" t="s">
        <v>33</v>
      </c>
      <c r="C18" s="19"/>
      <c r="D18" s="4"/>
      <c r="E18" s="4"/>
      <c r="F18" s="4" t="str">
        <f t="shared" si="0"/>
        <v/>
      </c>
    </row>
    <row r="19" spans="1:6" x14ac:dyDescent="0.3">
      <c r="A19" s="4">
        <v>18</v>
      </c>
      <c r="B19" s="5" t="s">
        <v>24</v>
      </c>
      <c r="C19" s="19">
        <v>19.25</v>
      </c>
      <c r="D19" s="4" t="s">
        <v>87</v>
      </c>
      <c r="E19" s="4"/>
      <c r="F19" s="4">
        <f t="shared" si="0"/>
        <v>19.25</v>
      </c>
    </row>
    <row r="20" spans="1:6" x14ac:dyDescent="0.3">
      <c r="A20" s="4">
        <v>19</v>
      </c>
      <c r="B20" s="5" t="s">
        <v>80</v>
      </c>
      <c r="C20" s="19">
        <v>20.21</v>
      </c>
      <c r="D20" s="4" t="s">
        <v>88</v>
      </c>
      <c r="E20" s="4"/>
      <c r="F20" s="4">
        <f t="shared" si="0"/>
        <v>20.21</v>
      </c>
    </row>
    <row r="21" spans="1:6" x14ac:dyDescent="0.3">
      <c r="A21" s="4">
        <v>20</v>
      </c>
      <c r="B21" s="5" t="s">
        <v>26</v>
      </c>
      <c r="C21" s="19"/>
      <c r="D21" s="4"/>
      <c r="E21" s="4"/>
      <c r="F21" s="4" t="str">
        <f t="shared" si="0"/>
        <v/>
      </c>
    </row>
    <row r="22" spans="1:6" x14ac:dyDescent="0.3">
      <c r="A22" s="4">
        <v>21</v>
      </c>
      <c r="B22" s="5" t="s">
        <v>27</v>
      </c>
      <c r="C22" s="19">
        <v>22.19</v>
      </c>
      <c r="D22" s="4"/>
      <c r="E22" s="4"/>
      <c r="F22" s="4">
        <f t="shared" si="0"/>
        <v>22.19</v>
      </c>
    </row>
    <row r="23" spans="1:6" x14ac:dyDescent="0.3">
      <c r="A23" s="4">
        <v>22</v>
      </c>
      <c r="B23" s="5" t="s">
        <v>28</v>
      </c>
      <c r="C23" s="19">
        <v>24.03</v>
      </c>
      <c r="D23" s="4" t="s">
        <v>89</v>
      </c>
      <c r="E23" s="4"/>
      <c r="F23" s="4">
        <f t="shared" si="0"/>
        <v>24.03</v>
      </c>
    </row>
    <row r="24" spans="1:6" x14ac:dyDescent="0.3">
      <c r="A24" s="4">
        <v>23</v>
      </c>
      <c r="B24" s="5" t="s">
        <v>79</v>
      </c>
      <c r="C24" s="19" t="s">
        <v>79</v>
      </c>
      <c r="D24" s="4"/>
      <c r="E24" s="4"/>
      <c r="F24" s="4" t="str">
        <f t="shared" si="0"/>
        <v/>
      </c>
    </row>
    <row r="25" spans="1:6" x14ac:dyDescent="0.3">
      <c r="A25" s="4">
        <v>24</v>
      </c>
      <c r="B25" s="5" t="s">
        <v>30</v>
      </c>
      <c r="C25" s="19"/>
      <c r="D25" s="4" t="s">
        <v>90</v>
      </c>
      <c r="E25" s="4"/>
      <c r="F25" s="4" t="str">
        <f t="shared" si="0"/>
        <v/>
      </c>
    </row>
    <row r="26" spans="1:6" x14ac:dyDescent="0.3">
      <c r="A26" s="4">
        <v>25</v>
      </c>
      <c r="B26" s="5" t="s">
        <v>23</v>
      </c>
      <c r="C26" s="19">
        <v>25.15</v>
      </c>
      <c r="D26" s="4" t="s">
        <v>91</v>
      </c>
      <c r="E26" s="4"/>
      <c r="F26" s="4">
        <f t="shared" si="0"/>
        <v>25.15</v>
      </c>
    </row>
    <row r="27" spans="1:6" x14ac:dyDescent="0.3">
      <c r="A27" s="4">
        <v>26</v>
      </c>
      <c r="B27" s="5" t="s">
        <v>34</v>
      </c>
      <c r="C27" s="19">
        <v>28.15</v>
      </c>
      <c r="D27" s="4" t="s">
        <v>92</v>
      </c>
      <c r="E27" s="4"/>
      <c r="F27" s="4">
        <f t="shared" si="0"/>
        <v>28.15</v>
      </c>
    </row>
    <row r="28" spans="1:6" x14ac:dyDescent="0.3">
      <c r="A28" s="4">
        <v>27</v>
      </c>
      <c r="B28" s="5" t="s">
        <v>35</v>
      </c>
      <c r="C28" s="19">
        <v>29.29</v>
      </c>
      <c r="D28" s="4" t="s">
        <v>93</v>
      </c>
      <c r="E28" s="4"/>
      <c r="F28" s="4">
        <f t="shared" si="0"/>
        <v>29.29</v>
      </c>
    </row>
    <row r="29" spans="1:6" x14ac:dyDescent="0.3">
      <c r="A29" s="4"/>
      <c r="B29" s="5" t="s">
        <v>82</v>
      </c>
      <c r="C29" s="19">
        <v>41.21</v>
      </c>
      <c r="D29" s="4">
        <v>0</v>
      </c>
      <c r="E29" s="4"/>
      <c r="F29" s="4">
        <f t="shared" si="0"/>
        <v>20.605</v>
      </c>
    </row>
    <row r="30" spans="1:6" x14ac:dyDescent="0.3">
      <c r="A30" s="4">
        <v>28</v>
      </c>
      <c r="B30" s="5" t="s">
        <v>18</v>
      </c>
      <c r="D30" s="4" t="s">
        <v>94</v>
      </c>
      <c r="E30" s="4"/>
      <c r="F30" s="4" t="str">
        <f t="shared" si="0"/>
        <v/>
      </c>
    </row>
    <row r="31" spans="1:6" x14ac:dyDescent="0.3">
      <c r="A31" s="4">
        <v>29</v>
      </c>
      <c r="B31" s="5" t="s">
        <v>36</v>
      </c>
      <c r="C31" s="19">
        <v>42.07</v>
      </c>
      <c r="D31" s="4"/>
      <c r="E31" s="4"/>
      <c r="F31" s="4">
        <f>IF(COUNT(C31:E31)=0,"",AVERAGE(C31:E31))</f>
        <v>42.07</v>
      </c>
    </row>
    <row r="32" spans="1:6" x14ac:dyDescent="0.3">
      <c r="A32" s="4">
        <v>30</v>
      </c>
      <c r="B32" s="5" t="s">
        <v>37</v>
      </c>
      <c r="C32" s="19">
        <v>43.22</v>
      </c>
      <c r="D32" s="4"/>
      <c r="E32" s="4"/>
      <c r="F32" s="4">
        <f t="shared" si="0"/>
        <v>43.22</v>
      </c>
    </row>
    <row r="33" spans="1:6" x14ac:dyDescent="0.3">
      <c r="A33" s="4">
        <v>31</v>
      </c>
      <c r="B33" s="5" t="s">
        <v>38</v>
      </c>
      <c r="C33" s="19"/>
      <c r="D33" s="4" t="s">
        <v>95</v>
      </c>
      <c r="E33" s="4"/>
      <c r="F33" s="4" t="str">
        <f t="shared" si="0"/>
        <v/>
      </c>
    </row>
    <row r="34" spans="1:6" x14ac:dyDescent="0.3">
      <c r="A34" s="4">
        <v>32</v>
      </c>
      <c r="B34" s="5" t="s">
        <v>39</v>
      </c>
      <c r="C34" s="19">
        <v>45.07</v>
      </c>
      <c r="D34" s="4" t="s">
        <v>96</v>
      </c>
      <c r="E34" s="4"/>
      <c r="F34" s="4">
        <f t="shared" si="0"/>
        <v>45.07</v>
      </c>
    </row>
    <row r="35" spans="1:6" x14ac:dyDescent="0.3">
      <c r="A35" s="4">
        <v>33</v>
      </c>
      <c r="B35" s="5" t="s">
        <v>40</v>
      </c>
      <c r="C35" s="19">
        <v>50.07</v>
      </c>
      <c r="D35" s="4" t="s">
        <v>98</v>
      </c>
      <c r="E35" s="4"/>
      <c r="F35" s="4">
        <f t="shared" si="0"/>
        <v>50.07</v>
      </c>
    </row>
    <row r="37" spans="1:6" x14ac:dyDescent="0.3">
      <c r="A37" s="6"/>
      <c r="B37" s="7" t="s">
        <v>41</v>
      </c>
      <c r="C37" s="20"/>
      <c r="D37" s="6"/>
      <c r="E37" s="6"/>
      <c r="F37" s="8">
        <f>SUM(F5:F35)</f>
        <v>576.70000000000016</v>
      </c>
    </row>
    <row r="38" spans="1:6" x14ac:dyDescent="0.3">
      <c r="A38" t="s">
        <v>97</v>
      </c>
    </row>
    <row r="39" spans="1:6" x14ac:dyDescent="0.3">
      <c r="B39" t="s">
        <v>99</v>
      </c>
      <c r="D39" t="s">
        <v>100</v>
      </c>
    </row>
  </sheetData>
  <mergeCells count="3">
    <mergeCell ref="A1:F1"/>
    <mergeCell ref="A2:F2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6" customWidth="1"/>
    <col min="2" max="2" width="20" customWidth="1"/>
    <col min="3" max="3" width="18" customWidth="1"/>
    <col min="4" max="4" width="20" customWidth="1"/>
  </cols>
  <sheetData>
    <row r="1" spans="1:4" ht="18" x14ac:dyDescent="0.35">
      <c r="A1" s="9" t="s">
        <v>0</v>
      </c>
      <c r="B1" s="10"/>
      <c r="C1" s="10"/>
      <c r="D1" s="10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2" t="e">
        <f>SUM('TWO PROFILE PICK UP'!#REF!)</f>
        <v>#REF!</v>
      </c>
      <c r="C4" s="2">
        <v>2</v>
      </c>
      <c r="D4" s="2" t="e">
        <f>IF(C4="","",B4/C4)</f>
        <v>#REF!</v>
      </c>
    </row>
    <row r="5" spans="1:4" x14ac:dyDescent="0.3">
      <c r="A5" s="2" t="s">
        <v>6</v>
      </c>
      <c r="B5" s="2">
        <f>SUM('THREE PROFILE PICK UP'!F5:F1006)</f>
        <v>0</v>
      </c>
      <c r="C5" s="2">
        <v>3</v>
      </c>
      <c r="D5" s="2">
        <f>IF(C5="","",B5/C5)</f>
        <v>0</v>
      </c>
    </row>
    <row r="6" spans="1:4" x14ac:dyDescent="0.3">
      <c r="A6" s="2" t="s">
        <v>7</v>
      </c>
      <c r="B6" s="2">
        <f>SUM('FOUR PROFILE PICK UP'!F5:F1000)</f>
        <v>0</v>
      </c>
      <c r="C6" s="2">
        <v>4</v>
      </c>
      <c r="D6" s="2">
        <f>IF(C6="","",B6/C6)</f>
        <v>0</v>
      </c>
    </row>
    <row r="7" spans="1:4" x14ac:dyDescent="0.3">
      <c r="A7" s="2" t="s">
        <v>8</v>
      </c>
      <c r="B7" s="2">
        <f>SUM('TWIST CHECK'!F5:F1002)</f>
        <v>0</v>
      </c>
      <c r="C7" s="2"/>
      <c r="D7" s="2" t="str">
        <f>IF(C7="","",B7/C7)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>
      <pane ySplit="4" topLeftCell="A17" activePane="bottomLeft" state="frozen"/>
      <selection pane="bottomLeft" activeCell="A25" sqref="A25:XFD25"/>
    </sheetView>
  </sheetViews>
  <sheetFormatPr defaultRowHeight="14.4" x14ac:dyDescent="0.3"/>
  <cols>
    <col min="1" max="1" width="8" customWidth="1"/>
    <col min="2" max="2" width="55" customWidth="1"/>
    <col min="3" max="5" width="14" customWidth="1"/>
  </cols>
  <sheetData>
    <row r="1" spans="1:5" ht="18" x14ac:dyDescent="0.3">
      <c r="A1" s="15" t="s">
        <v>9</v>
      </c>
      <c r="B1" s="16"/>
      <c r="C1" s="16"/>
      <c r="D1" s="16"/>
      <c r="E1" s="16"/>
    </row>
    <row r="2" spans="1:5" x14ac:dyDescent="0.3">
      <c r="A2" s="11" t="s">
        <v>10</v>
      </c>
      <c r="B2" s="10"/>
      <c r="C2" s="10"/>
      <c r="D2" s="10"/>
      <c r="E2" s="10"/>
    </row>
    <row r="3" spans="1:5" x14ac:dyDescent="0.3">
      <c r="A3" s="11" t="s">
        <v>11</v>
      </c>
      <c r="B3" s="10"/>
      <c r="C3" s="10"/>
      <c r="D3" s="10"/>
      <c r="E3" s="10"/>
    </row>
    <row r="4" spans="1:5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x14ac:dyDescent="0.3">
      <c r="A5" s="4">
        <v>1</v>
      </c>
      <c r="B5" s="5" t="s">
        <v>18</v>
      </c>
      <c r="C5" s="4" t="s">
        <v>75</v>
      </c>
      <c r="D5" s="4">
        <v>50.07</v>
      </c>
      <c r="E5" s="4" t="s">
        <v>101</v>
      </c>
    </row>
    <row r="6" spans="1:5" x14ac:dyDescent="0.3">
      <c r="A6" s="4">
        <v>2</v>
      </c>
      <c r="B6" s="5" t="s">
        <v>19</v>
      </c>
      <c r="C6" s="4" t="s">
        <v>76</v>
      </c>
      <c r="D6" s="4">
        <v>55.3</v>
      </c>
      <c r="E6" s="4"/>
    </row>
    <row r="7" spans="1:5" x14ac:dyDescent="0.3">
      <c r="A7" s="4">
        <v>3</v>
      </c>
      <c r="B7" s="5" t="s">
        <v>20</v>
      </c>
      <c r="C7" s="17">
        <v>0.31458333333333333</v>
      </c>
      <c r="D7" s="4">
        <v>56</v>
      </c>
      <c r="E7" s="4"/>
    </row>
    <row r="8" spans="1:5" x14ac:dyDescent="0.3">
      <c r="A8" s="4">
        <v>4</v>
      </c>
      <c r="B8" s="5" t="s">
        <v>21</v>
      </c>
      <c r="C8" s="17">
        <v>0.33888888888888891</v>
      </c>
      <c r="D8" s="4"/>
      <c r="E8" s="4"/>
    </row>
    <row r="9" spans="1:5" x14ac:dyDescent="0.3">
      <c r="A9" s="4">
        <v>5</v>
      </c>
      <c r="B9" s="5" t="s">
        <v>77</v>
      </c>
      <c r="C9" s="17">
        <v>0.4284722222222222</v>
      </c>
      <c r="D9" s="4">
        <v>59.09</v>
      </c>
      <c r="E9" s="4"/>
    </row>
    <row r="10" spans="1:5" x14ac:dyDescent="0.3">
      <c r="A10" s="4">
        <v>8</v>
      </c>
      <c r="B10" s="5" t="s">
        <v>25</v>
      </c>
      <c r="C10" s="17">
        <v>0.5444444444444444</v>
      </c>
      <c r="D10" s="4" t="s">
        <v>83</v>
      </c>
      <c r="E10" s="4"/>
    </row>
    <row r="11" spans="1:5" x14ac:dyDescent="0.3">
      <c r="A11" s="4">
        <v>9</v>
      </c>
      <c r="B11" s="5" t="s">
        <v>26</v>
      </c>
      <c r="C11" s="17">
        <v>0.58750000000000002</v>
      </c>
      <c r="D11" s="4"/>
      <c r="E11" s="4"/>
    </row>
    <row r="12" spans="1:5" x14ac:dyDescent="0.3">
      <c r="A12" s="4">
        <v>10</v>
      </c>
      <c r="B12" s="5" t="s">
        <v>27</v>
      </c>
      <c r="C12" s="4"/>
      <c r="D12" s="4" t="s">
        <v>84</v>
      </c>
      <c r="E12" s="4"/>
    </row>
    <row r="13" spans="1:5" x14ac:dyDescent="0.3">
      <c r="A13" s="4">
        <v>11</v>
      </c>
      <c r="B13" s="5" t="s">
        <v>28</v>
      </c>
      <c r="C13" s="4" t="s">
        <v>78</v>
      </c>
      <c r="D13" s="4" t="s">
        <v>85</v>
      </c>
      <c r="E13" s="4"/>
    </row>
    <row r="14" spans="1:5" x14ac:dyDescent="0.3">
      <c r="A14" s="4">
        <v>12</v>
      </c>
      <c r="B14" s="5" t="s">
        <v>29</v>
      </c>
      <c r="C14" s="4" t="s">
        <v>79</v>
      </c>
      <c r="D14" s="4"/>
      <c r="E14" s="4"/>
    </row>
    <row r="15" spans="1:5" x14ac:dyDescent="0.3">
      <c r="A15" s="4">
        <v>13</v>
      </c>
      <c r="B15" s="5" t="s">
        <v>30</v>
      </c>
      <c r="C15" s="4"/>
      <c r="D15" s="4"/>
      <c r="E15" s="4"/>
    </row>
    <row r="16" spans="1:5" x14ac:dyDescent="0.3">
      <c r="A16" s="4">
        <v>14</v>
      </c>
      <c r="B16" s="5" t="s">
        <v>23</v>
      </c>
      <c r="C16" s="17">
        <v>0.68541666666666667</v>
      </c>
      <c r="D16" s="4" t="s">
        <v>86</v>
      </c>
      <c r="E16" s="4"/>
    </row>
    <row r="17" spans="1:5" x14ac:dyDescent="0.3">
      <c r="A17" s="4">
        <v>15</v>
      </c>
      <c r="B17" s="5" t="s">
        <v>31</v>
      </c>
      <c r="C17" s="17">
        <v>0.71944444444444444</v>
      </c>
      <c r="D17" s="4"/>
      <c r="E17" s="4"/>
    </row>
    <row r="18" spans="1:5" x14ac:dyDescent="0.3">
      <c r="A18" s="4">
        <v>16</v>
      </c>
      <c r="B18" s="5" t="s">
        <v>32</v>
      </c>
      <c r="C18" s="4"/>
      <c r="D18" s="4"/>
      <c r="E18" s="4"/>
    </row>
    <row r="19" spans="1:5" x14ac:dyDescent="0.3">
      <c r="A19" s="4">
        <v>17</v>
      </c>
      <c r="B19" s="5" t="s">
        <v>33</v>
      </c>
      <c r="C19" s="4"/>
      <c r="D19" s="4"/>
      <c r="E19" s="4"/>
    </row>
    <row r="20" spans="1:5" x14ac:dyDescent="0.3">
      <c r="A20" s="4">
        <v>18</v>
      </c>
      <c r="B20" s="5" t="s">
        <v>24</v>
      </c>
      <c r="C20" s="17">
        <v>0.80902777777777779</v>
      </c>
      <c r="D20" s="4" t="s">
        <v>87</v>
      </c>
      <c r="E20" s="4"/>
    </row>
    <row r="21" spans="1:5" x14ac:dyDescent="0.3">
      <c r="A21" s="4">
        <v>19</v>
      </c>
      <c r="B21" s="5" t="s">
        <v>80</v>
      </c>
      <c r="C21" s="17" t="s">
        <v>81</v>
      </c>
      <c r="D21" s="4" t="s">
        <v>88</v>
      </c>
      <c r="E21" s="4"/>
    </row>
    <row r="22" spans="1:5" x14ac:dyDescent="0.3">
      <c r="A22" s="4">
        <v>20</v>
      </c>
      <c r="B22" s="5" t="s">
        <v>26</v>
      </c>
      <c r="C22" s="4"/>
      <c r="D22" s="4"/>
      <c r="E22" s="4"/>
    </row>
    <row r="23" spans="1:5" x14ac:dyDescent="0.3">
      <c r="A23" s="4">
        <v>21</v>
      </c>
      <c r="B23" s="5" t="s">
        <v>27</v>
      </c>
      <c r="C23" s="4">
        <v>22.19</v>
      </c>
      <c r="D23" s="4"/>
      <c r="E23" s="4"/>
    </row>
    <row r="24" spans="1:5" x14ac:dyDescent="0.3">
      <c r="A24" s="4">
        <v>22</v>
      </c>
      <c r="B24" s="5" t="s">
        <v>28</v>
      </c>
      <c r="C24" s="19">
        <v>24.03</v>
      </c>
      <c r="D24" s="4" t="s">
        <v>89</v>
      </c>
      <c r="E24" s="4"/>
    </row>
    <row r="25" spans="1:5" x14ac:dyDescent="0.3">
      <c r="A25" s="4">
        <v>24</v>
      </c>
      <c r="B25" s="5" t="s">
        <v>30</v>
      </c>
      <c r="C25" s="4"/>
      <c r="D25" s="4" t="s">
        <v>90</v>
      </c>
      <c r="E25" s="4"/>
    </row>
    <row r="26" spans="1:5" x14ac:dyDescent="0.3">
      <c r="A26" s="4">
        <v>25</v>
      </c>
      <c r="B26" s="5" t="s">
        <v>23</v>
      </c>
      <c r="C26" s="4">
        <v>25.15</v>
      </c>
      <c r="D26" s="4" t="s">
        <v>91</v>
      </c>
      <c r="E26" s="4"/>
    </row>
    <row r="27" spans="1:5" x14ac:dyDescent="0.3">
      <c r="A27" s="4">
        <v>26</v>
      </c>
      <c r="B27" s="5" t="s">
        <v>34</v>
      </c>
      <c r="C27" s="4">
        <v>28.15</v>
      </c>
      <c r="D27" s="4" t="s">
        <v>92</v>
      </c>
      <c r="E27" s="4"/>
    </row>
    <row r="28" spans="1:5" x14ac:dyDescent="0.3">
      <c r="A28" s="4">
        <v>27</v>
      </c>
      <c r="B28" s="5" t="s">
        <v>35</v>
      </c>
      <c r="C28" s="4">
        <v>29.29</v>
      </c>
      <c r="D28" s="4" t="s">
        <v>93</v>
      </c>
      <c r="E28" s="4"/>
    </row>
    <row r="29" spans="1:5" x14ac:dyDescent="0.3">
      <c r="A29" s="4"/>
      <c r="B29" s="5" t="s">
        <v>82</v>
      </c>
      <c r="C29" s="4">
        <v>41.21</v>
      </c>
      <c r="D29" s="4">
        <v>0</v>
      </c>
      <c r="E29" s="4"/>
    </row>
    <row r="30" spans="1:5" x14ac:dyDescent="0.3">
      <c r="A30" s="4">
        <v>28</v>
      </c>
      <c r="B30" s="5" t="s">
        <v>18</v>
      </c>
      <c r="D30" s="4" t="s">
        <v>94</v>
      </c>
      <c r="E30" s="4"/>
    </row>
    <row r="31" spans="1:5" x14ac:dyDescent="0.3">
      <c r="A31" s="4">
        <v>29</v>
      </c>
      <c r="B31" s="5" t="s">
        <v>36</v>
      </c>
      <c r="C31" s="4">
        <v>42.07</v>
      </c>
      <c r="D31" s="4"/>
      <c r="E31" s="4"/>
    </row>
    <row r="32" spans="1:5" x14ac:dyDescent="0.3">
      <c r="A32" s="4">
        <v>30</v>
      </c>
      <c r="B32" s="5" t="s">
        <v>37</v>
      </c>
      <c r="C32" s="4">
        <v>43.22</v>
      </c>
      <c r="D32" s="4"/>
      <c r="E32" s="4"/>
    </row>
    <row r="33" spans="1:5" x14ac:dyDescent="0.3">
      <c r="A33" s="4">
        <v>31</v>
      </c>
      <c r="B33" s="5" t="s">
        <v>38</v>
      </c>
      <c r="C33" s="4"/>
      <c r="D33" s="4" t="s">
        <v>95</v>
      </c>
      <c r="E33" s="4"/>
    </row>
    <row r="34" spans="1:5" x14ac:dyDescent="0.3">
      <c r="A34" s="4">
        <v>32</v>
      </c>
      <c r="B34" s="5" t="s">
        <v>39</v>
      </c>
      <c r="C34" s="4">
        <v>45.07</v>
      </c>
      <c r="D34" s="4" t="s">
        <v>96</v>
      </c>
      <c r="E34" s="4"/>
    </row>
    <row r="35" spans="1:5" x14ac:dyDescent="0.3">
      <c r="A35" s="4">
        <v>33</v>
      </c>
      <c r="B35" s="5" t="s">
        <v>40</v>
      </c>
      <c r="C35" s="4">
        <v>50.07</v>
      </c>
      <c r="D35" s="4" t="s">
        <v>98</v>
      </c>
      <c r="E35" s="4"/>
    </row>
    <row r="37" spans="1:5" x14ac:dyDescent="0.3">
      <c r="A37" s="6"/>
      <c r="B37" s="7" t="s">
        <v>41</v>
      </c>
      <c r="C37" s="6"/>
      <c r="D37" s="6"/>
      <c r="E37" s="6"/>
    </row>
    <row r="38" spans="1:5" x14ac:dyDescent="0.3">
      <c r="A38" t="s">
        <v>97</v>
      </c>
    </row>
    <row r="39" spans="1:5" x14ac:dyDescent="0.3">
      <c r="B39" t="s">
        <v>99</v>
      </c>
      <c r="D39" t="s">
        <v>100</v>
      </c>
    </row>
  </sheetData>
  <mergeCells count="3">
    <mergeCell ref="A3:E3"/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tabSelected="1" workbookViewId="0">
      <pane ySplit="4" topLeftCell="A5" activePane="bottomLeft" state="frozen"/>
      <selection pane="bottomLeft" activeCell="D50" sqref="D50"/>
    </sheetView>
  </sheetViews>
  <sheetFormatPr defaultRowHeight="14.4" x14ac:dyDescent="0.3"/>
  <cols>
    <col min="1" max="1" width="8" customWidth="1"/>
    <col min="2" max="2" width="55" customWidth="1"/>
    <col min="3" max="5" width="14" customWidth="1"/>
    <col min="6" max="6" width="12" customWidth="1"/>
  </cols>
  <sheetData>
    <row r="1" spans="1:6" ht="18" x14ac:dyDescent="0.3">
      <c r="A1" s="12" t="s">
        <v>9</v>
      </c>
      <c r="B1" s="10"/>
      <c r="C1" s="10"/>
      <c r="D1" s="10"/>
      <c r="E1" s="10"/>
      <c r="F1" s="10"/>
    </row>
    <row r="2" spans="1:6" x14ac:dyDescent="0.3">
      <c r="A2" s="11" t="s">
        <v>10</v>
      </c>
      <c r="B2" s="10"/>
      <c r="C2" s="10"/>
      <c r="D2" s="10"/>
      <c r="E2" s="10"/>
      <c r="F2" s="10"/>
    </row>
    <row r="3" spans="1:6" x14ac:dyDescent="0.3">
      <c r="A3" s="11" t="s">
        <v>42</v>
      </c>
      <c r="B3" s="10"/>
      <c r="C3" s="10"/>
      <c r="D3" s="10"/>
      <c r="E3" s="10"/>
      <c r="F3" s="10"/>
    </row>
    <row r="4" spans="1:6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x14ac:dyDescent="0.3">
      <c r="A5" s="4">
        <v>1</v>
      </c>
      <c r="B5" s="5" t="s">
        <v>43</v>
      </c>
      <c r="C5" s="4" t="s">
        <v>102</v>
      </c>
      <c r="D5" s="4" t="s">
        <v>123</v>
      </c>
      <c r="E5" s="4"/>
      <c r="F5" s="4" t="str">
        <f t="shared" ref="F5:F50" si="0">IF(COUNT(C5:E5)=0,"",AVERAGE(C5:E5))</f>
        <v/>
      </c>
    </row>
    <row r="6" spans="1:6" x14ac:dyDescent="0.3">
      <c r="A6" s="4">
        <v>2</v>
      </c>
      <c r="B6" s="5" t="s">
        <v>19</v>
      </c>
      <c r="C6" s="4"/>
      <c r="D6" s="4"/>
      <c r="E6" s="4"/>
      <c r="F6" s="4" t="str">
        <f t="shared" si="0"/>
        <v/>
      </c>
    </row>
    <row r="7" spans="1:6" x14ac:dyDescent="0.3">
      <c r="A7" s="4">
        <v>3</v>
      </c>
      <c r="B7" s="5" t="s">
        <v>20</v>
      </c>
      <c r="C7" s="4"/>
      <c r="D7" s="4"/>
      <c r="E7" s="4"/>
      <c r="F7" s="4" t="str">
        <f t="shared" si="0"/>
        <v/>
      </c>
    </row>
    <row r="8" spans="1:6" x14ac:dyDescent="0.3">
      <c r="A8" s="4">
        <v>4</v>
      </c>
      <c r="B8" s="5" t="s">
        <v>21</v>
      </c>
      <c r="C8" s="4"/>
      <c r="D8" s="4"/>
      <c r="E8" s="4"/>
      <c r="F8" s="4" t="str">
        <f t="shared" si="0"/>
        <v/>
      </c>
    </row>
    <row r="9" spans="1:6" x14ac:dyDescent="0.3">
      <c r="A9" s="4">
        <v>5</v>
      </c>
      <c r="B9" s="5" t="s">
        <v>22</v>
      </c>
      <c r="C9" s="4"/>
      <c r="D9" s="4"/>
      <c r="E9" s="4"/>
      <c r="F9" s="4" t="str">
        <f t="shared" si="0"/>
        <v/>
      </c>
    </row>
    <row r="10" spans="1:6" x14ac:dyDescent="0.3">
      <c r="A10" s="4">
        <v>6</v>
      </c>
      <c r="B10" s="5" t="s">
        <v>23</v>
      </c>
      <c r="C10" s="4"/>
      <c r="D10" s="4"/>
      <c r="E10" s="4"/>
      <c r="F10" s="4" t="str">
        <f t="shared" si="0"/>
        <v/>
      </c>
    </row>
    <row r="11" spans="1:6" x14ac:dyDescent="0.3">
      <c r="A11" s="4">
        <v>7</v>
      </c>
      <c r="B11" s="5" t="s">
        <v>24</v>
      </c>
      <c r="C11" s="4"/>
      <c r="D11" s="4" t="s">
        <v>124</v>
      </c>
      <c r="E11" s="4"/>
      <c r="F11" s="4" t="str">
        <f t="shared" si="0"/>
        <v/>
      </c>
    </row>
    <row r="12" spans="1:6" x14ac:dyDescent="0.3">
      <c r="A12" s="4">
        <v>8</v>
      </c>
      <c r="B12" s="5" t="s">
        <v>25</v>
      </c>
      <c r="C12" s="4"/>
      <c r="D12" s="4" t="s">
        <v>125</v>
      </c>
      <c r="E12" s="4"/>
      <c r="F12" s="4" t="str">
        <f t="shared" si="0"/>
        <v/>
      </c>
    </row>
    <row r="13" spans="1:6" x14ac:dyDescent="0.3">
      <c r="A13" s="4">
        <v>9</v>
      </c>
      <c r="B13" s="5" t="s">
        <v>26</v>
      </c>
      <c r="C13" s="4" t="s">
        <v>103</v>
      </c>
      <c r="D13" s="4"/>
      <c r="E13" s="4"/>
      <c r="F13" s="4" t="str">
        <f t="shared" si="0"/>
        <v/>
      </c>
    </row>
    <row r="14" spans="1:6" x14ac:dyDescent="0.3">
      <c r="A14" s="4">
        <v>10</v>
      </c>
      <c r="B14" s="5" t="s">
        <v>27</v>
      </c>
      <c r="C14" s="4" t="s">
        <v>104</v>
      </c>
      <c r="D14" s="4" t="s">
        <v>126</v>
      </c>
      <c r="E14" s="4"/>
      <c r="F14" s="4" t="str">
        <f t="shared" si="0"/>
        <v/>
      </c>
    </row>
    <row r="15" spans="1:6" x14ac:dyDescent="0.3">
      <c r="A15" s="4">
        <v>11</v>
      </c>
      <c r="B15" s="5" t="s">
        <v>28</v>
      </c>
      <c r="C15" s="4" t="s">
        <v>105</v>
      </c>
      <c r="D15" s="4" t="s">
        <v>127</v>
      </c>
      <c r="E15" s="4"/>
      <c r="F15" s="4" t="str">
        <f t="shared" si="0"/>
        <v/>
      </c>
    </row>
    <row r="16" spans="1:6" x14ac:dyDescent="0.3">
      <c r="A16" s="4">
        <v>12</v>
      </c>
      <c r="B16" s="5" t="s">
        <v>29</v>
      </c>
      <c r="C16" s="4"/>
      <c r="D16" s="4"/>
      <c r="E16" s="4"/>
      <c r="F16" s="4" t="str">
        <f t="shared" si="0"/>
        <v/>
      </c>
    </row>
    <row r="17" spans="1:6" x14ac:dyDescent="0.3">
      <c r="A17" s="4">
        <v>13</v>
      </c>
      <c r="B17" s="5" t="s">
        <v>30</v>
      </c>
      <c r="C17" s="4"/>
      <c r="D17" s="4"/>
      <c r="E17" s="4"/>
      <c r="F17" s="4" t="str">
        <f t="shared" si="0"/>
        <v/>
      </c>
    </row>
    <row r="18" spans="1:6" x14ac:dyDescent="0.3">
      <c r="A18" s="4">
        <v>14</v>
      </c>
      <c r="B18" s="5" t="s">
        <v>23</v>
      </c>
      <c r="C18" s="4" t="s">
        <v>106</v>
      </c>
      <c r="D18" s="4" t="s">
        <v>128</v>
      </c>
      <c r="E18" s="4"/>
      <c r="F18" s="4" t="str">
        <f t="shared" si="0"/>
        <v/>
      </c>
    </row>
    <row r="19" spans="1:6" x14ac:dyDescent="0.3">
      <c r="A19" s="4">
        <v>15</v>
      </c>
      <c r="B19" s="5" t="s">
        <v>31</v>
      </c>
      <c r="C19" s="4"/>
      <c r="D19" s="4"/>
      <c r="E19" s="4"/>
      <c r="F19" s="4" t="str">
        <f t="shared" si="0"/>
        <v/>
      </c>
    </row>
    <row r="20" spans="1:6" x14ac:dyDescent="0.3">
      <c r="A20" s="4">
        <v>16</v>
      </c>
      <c r="B20" s="5" t="s">
        <v>32</v>
      </c>
      <c r="C20" s="4"/>
      <c r="D20" s="4"/>
      <c r="E20" s="4"/>
      <c r="F20" s="4" t="str">
        <f t="shared" si="0"/>
        <v/>
      </c>
    </row>
    <row r="21" spans="1:6" x14ac:dyDescent="0.3">
      <c r="A21" s="4">
        <v>17</v>
      </c>
      <c r="B21" s="5" t="s">
        <v>33</v>
      </c>
      <c r="C21" s="4"/>
      <c r="D21" s="4"/>
      <c r="E21" s="4"/>
      <c r="F21" s="4" t="str">
        <f t="shared" si="0"/>
        <v/>
      </c>
    </row>
    <row r="22" spans="1:6" x14ac:dyDescent="0.3">
      <c r="A22" s="4">
        <v>18</v>
      </c>
      <c r="B22" s="5" t="s">
        <v>24</v>
      </c>
      <c r="C22" s="4" t="s">
        <v>107</v>
      </c>
      <c r="D22" s="4" t="s">
        <v>129</v>
      </c>
      <c r="E22" s="4"/>
      <c r="F22" s="4" t="str">
        <f t="shared" si="0"/>
        <v/>
      </c>
    </row>
    <row r="23" spans="1:6" x14ac:dyDescent="0.3">
      <c r="A23" s="4">
        <v>19</v>
      </c>
      <c r="B23" s="5" t="s">
        <v>25</v>
      </c>
      <c r="C23" s="4" t="s">
        <v>108</v>
      </c>
      <c r="D23" s="4" t="s">
        <v>130</v>
      </c>
      <c r="E23" s="4"/>
      <c r="F23" s="4" t="str">
        <f t="shared" si="0"/>
        <v/>
      </c>
    </row>
    <row r="24" spans="1:6" x14ac:dyDescent="0.3">
      <c r="A24" s="4">
        <v>20</v>
      </c>
      <c r="B24" s="5" t="s">
        <v>26</v>
      </c>
      <c r="C24" s="4"/>
      <c r="D24" s="4"/>
      <c r="E24" s="4"/>
      <c r="F24" s="4" t="str">
        <f t="shared" si="0"/>
        <v/>
      </c>
    </row>
    <row r="25" spans="1:6" x14ac:dyDescent="0.3">
      <c r="A25" s="4">
        <v>21</v>
      </c>
      <c r="B25" s="5" t="s">
        <v>27</v>
      </c>
      <c r="C25" s="4" t="s">
        <v>109</v>
      </c>
      <c r="D25" s="4" t="s">
        <v>131</v>
      </c>
      <c r="E25" s="4"/>
      <c r="F25" s="4" t="str">
        <f t="shared" si="0"/>
        <v/>
      </c>
    </row>
    <row r="26" spans="1:6" x14ac:dyDescent="0.3">
      <c r="A26" s="4">
        <v>22</v>
      </c>
      <c r="B26" s="5" t="s">
        <v>28</v>
      </c>
      <c r="C26" s="4" t="s">
        <v>110</v>
      </c>
      <c r="D26" s="4" t="s">
        <v>132</v>
      </c>
      <c r="E26" s="4"/>
      <c r="F26" s="4" t="str">
        <f t="shared" si="0"/>
        <v/>
      </c>
    </row>
    <row r="27" spans="1:6" x14ac:dyDescent="0.3">
      <c r="A27" s="4">
        <v>23</v>
      </c>
      <c r="B27" s="5" t="s">
        <v>29</v>
      </c>
      <c r="C27" s="4"/>
      <c r="D27" s="4"/>
      <c r="E27" s="4"/>
      <c r="F27" s="4" t="str">
        <f t="shared" si="0"/>
        <v/>
      </c>
    </row>
    <row r="28" spans="1:6" x14ac:dyDescent="0.3">
      <c r="A28" s="4">
        <v>24</v>
      </c>
      <c r="B28" s="5" t="s">
        <v>30</v>
      </c>
      <c r="C28" s="4"/>
      <c r="D28" s="4"/>
      <c r="E28" s="4"/>
      <c r="F28" s="4" t="str">
        <f t="shared" si="0"/>
        <v/>
      </c>
    </row>
    <row r="29" spans="1:6" x14ac:dyDescent="0.3">
      <c r="A29" s="4">
        <v>25</v>
      </c>
      <c r="B29" s="5" t="s">
        <v>23</v>
      </c>
      <c r="C29" s="4" t="s">
        <v>111</v>
      </c>
      <c r="D29" s="4" t="s">
        <v>133</v>
      </c>
      <c r="E29" s="4"/>
      <c r="F29" s="4" t="str">
        <f t="shared" si="0"/>
        <v/>
      </c>
    </row>
    <row r="30" spans="1:6" x14ac:dyDescent="0.3">
      <c r="A30" s="4">
        <v>26</v>
      </c>
      <c r="B30" s="5" t="s">
        <v>44</v>
      </c>
      <c r="C30" s="4"/>
      <c r="D30" s="4"/>
      <c r="E30" s="4"/>
      <c r="F30" s="4" t="str">
        <f t="shared" si="0"/>
        <v/>
      </c>
    </row>
    <row r="31" spans="1:6" x14ac:dyDescent="0.3">
      <c r="A31" s="4">
        <v>27</v>
      </c>
      <c r="B31" s="5" t="s">
        <v>32</v>
      </c>
      <c r="C31" s="4"/>
      <c r="D31" s="4"/>
      <c r="E31" s="4"/>
      <c r="F31" s="4" t="str">
        <f t="shared" si="0"/>
        <v/>
      </c>
    </row>
    <row r="32" spans="1:6" x14ac:dyDescent="0.3">
      <c r="A32" s="4">
        <v>28</v>
      </c>
      <c r="B32" s="5" t="s">
        <v>33</v>
      </c>
      <c r="C32" s="4"/>
      <c r="D32" s="4"/>
      <c r="E32" s="4"/>
      <c r="F32" s="4" t="str">
        <f t="shared" si="0"/>
        <v/>
      </c>
    </row>
    <row r="33" spans="1:6" x14ac:dyDescent="0.3">
      <c r="A33" s="4">
        <v>29</v>
      </c>
      <c r="B33" s="5" t="s">
        <v>24</v>
      </c>
      <c r="C33" s="4" t="s">
        <v>112</v>
      </c>
      <c r="D33" s="4" t="s">
        <v>134</v>
      </c>
      <c r="E33" s="4"/>
      <c r="F33" s="4" t="str">
        <f t="shared" si="0"/>
        <v/>
      </c>
    </row>
    <row r="34" spans="1:6" x14ac:dyDescent="0.3">
      <c r="A34" s="4">
        <v>30</v>
      </c>
      <c r="B34" s="5" t="s">
        <v>25</v>
      </c>
      <c r="C34" s="4" t="s">
        <v>113</v>
      </c>
      <c r="D34" s="4" t="s">
        <v>135</v>
      </c>
      <c r="E34" s="4"/>
      <c r="F34" s="4" t="str">
        <f t="shared" si="0"/>
        <v/>
      </c>
    </row>
    <row r="35" spans="1:6" x14ac:dyDescent="0.3">
      <c r="A35" s="4">
        <v>31</v>
      </c>
      <c r="B35" s="5" t="s">
        <v>26</v>
      </c>
      <c r="C35" s="4"/>
      <c r="D35" s="4"/>
      <c r="E35" s="4"/>
      <c r="F35" s="4" t="str">
        <f t="shared" si="0"/>
        <v/>
      </c>
    </row>
    <row r="36" spans="1:6" x14ac:dyDescent="0.3">
      <c r="A36" s="4">
        <v>32</v>
      </c>
      <c r="B36" s="5" t="s">
        <v>27</v>
      </c>
      <c r="C36" s="4" t="s">
        <v>114</v>
      </c>
      <c r="D36" s="4" t="s">
        <v>136</v>
      </c>
      <c r="E36" s="4"/>
      <c r="F36" s="4"/>
    </row>
    <row r="37" spans="1:6" x14ac:dyDescent="0.3">
      <c r="A37" s="4">
        <v>33</v>
      </c>
      <c r="B37" s="5" t="s">
        <v>69</v>
      </c>
      <c r="C37" s="22" t="s">
        <v>115</v>
      </c>
      <c r="D37" s="4" t="s">
        <v>137</v>
      </c>
      <c r="E37" s="4"/>
      <c r="F37" s="4"/>
    </row>
    <row r="38" spans="1:6" x14ac:dyDescent="0.3">
      <c r="A38" s="4">
        <v>34</v>
      </c>
      <c r="B38" s="5" t="s">
        <v>70</v>
      </c>
      <c r="C38" s="4" t="s">
        <v>79</v>
      </c>
      <c r="D38" s="4"/>
      <c r="E38" s="4"/>
      <c r="F38" s="4"/>
    </row>
    <row r="39" spans="1:6" x14ac:dyDescent="0.3">
      <c r="A39" s="4">
        <v>35</v>
      </c>
      <c r="B39" s="5" t="s">
        <v>30</v>
      </c>
      <c r="C39" s="4"/>
      <c r="D39" s="4"/>
      <c r="E39" s="4"/>
      <c r="F39" s="4" t="str">
        <f t="shared" si="0"/>
        <v/>
      </c>
    </row>
    <row r="40" spans="1:6" x14ac:dyDescent="0.3">
      <c r="A40" s="4">
        <v>36</v>
      </c>
      <c r="B40" s="5" t="s">
        <v>68</v>
      </c>
      <c r="C40" s="4" t="s">
        <v>116</v>
      </c>
      <c r="D40" s="4" t="s">
        <v>138</v>
      </c>
      <c r="E40" s="4"/>
      <c r="F40" s="4"/>
    </row>
    <row r="41" spans="1:6" x14ac:dyDescent="0.3">
      <c r="A41" s="4">
        <v>37</v>
      </c>
      <c r="B41" s="5" t="s">
        <v>34</v>
      </c>
      <c r="C41" s="4" t="s">
        <v>117</v>
      </c>
      <c r="D41" s="4" t="s">
        <v>141</v>
      </c>
      <c r="E41" s="4"/>
      <c r="F41" s="4" t="str">
        <f t="shared" si="0"/>
        <v/>
      </c>
    </row>
    <row r="42" spans="1:6" x14ac:dyDescent="0.3">
      <c r="A42" s="4"/>
      <c r="B42" s="5" t="s">
        <v>35</v>
      </c>
      <c r="C42" s="4" t="s">
        <v>140</v>
      </c>
      <c r="D42" s="4" t="s">
        <v>142</v>
      </c>
      <c r="E42" s="4"/>
      <c r="F42" s="4"/>
    </row>
    <row r="43" spans="1:6" x14ac:dyDescent="0.3">
      <c r="A43" s="4">
        <v>38</v>
      </c>
      <c r="B43" s="5" t="s">
        <v>139</v>
      </c>
      <c r="C43" s="4" t="s">
        <v>118</v>
      </c>
      <c r="D43" s="4" t="s">
        <v>143</v>
      </c>
      <c r="E43" s="4"/>
      <c r="F43" s="4" t="str">
        <f t="shared" si="0"/>
        <v/>
      </c>
    </row>
    <row r="44" spans="1:6" x14ac:dyDescent="0.3">
      <c r="A44" s="4"/>
      <c r="B44" s="5" t="s">
        <v>82</v>
      </c>
      <c r="C44" s="4" t="s">
        <v>119</v>
      </c>
      <c r="D44" s="4" t="s">
        <v>144</v>
      </c>
      <c r="E44" s="4"/>
      <c r="F44" s="4"/>
    </row>
    <row r="45" spans="1:6" x14ac:dyDescent="0.3">
      <c r="A45" s="4">
        <v>39</v>
      </c>
      <c r="B45" s="5" t="s">
        <v>43</v>
      </c>
      <c r="C45" s="4" t="s">
        <v>120</v>
      </c>
      <c r="D45" s="4" t="s">
        <v>146</v>
      </c>
      <c r="E45" s="4"/>
      <c r="F45" s="4" t="str">
        <f t="shared" si="0"/>
        <v/>
      </c>
    </row>
    <row r="46" spans="1:6" x14ac:dyDescent="0.3">
      <c r="A46" s="4">
        <v>40</v>
      </c>
      <c r="B46" s="5" t="s">
        <v>36</v>
      </c>
      <c r="C46" s="4"/>
      <c r="D46" s="4"/>
      <c r="E46" s="4"/>
      <c r="F46" s="4" t="str">
        <f t="shared" si="0"/>
        <v/>
      </c>
    </row>
    <row r="47" spans="1:6" x14ac:dyDescent="0.3">
      <c r="A47" s="4">
        <v>41</v>
      </c>
      <c r="B47" s="5" t="s">
        <v>37</v>
      </c>
      <c r="C47" s="4" t="s">
        <v>121</v>
      </c>
      <c r="D47" s="4" t="s">
        <v>145</v>
      </c>
      <c r="E47" s="4"/>
      <c r="F47" s="4" t="str">
        <f t="shared" si="0"/>
        <v/>
      </c>
    </row>
    <row r="48" spans="1:6" x14ac:dyDescent="0.3">
      <c r="A48" s="4">
        <v>42</v>
      </c>
      <c r="B48" s="5" t="s">
        <v>38</v>
      </c>
      <c r="C48" s="4" t="s">
        <v>122</v>
      </c>
      <c r="D48" s="4" t="s">
        <v>147</v>
      </c>
      <c r="E48" s="4"/>
      <c r="F48" s="4" t="str">
        <f t="shared" si="0"/>
        <v/>
      </c>
    </row>
    <row r="49" spans="1:6" x14ac:dyDescent="0.3">
      <c r="A49" s="4">
        <v>43</v>
      </c>
      <c r="B49" s="5" t="s">
        <v>39</v>
      </c>
      <c r="C49" s="4"/>
      <c r="D49" s="4"/>
      <c r="E49" s="4"/>
      <c r="F49" s="4" t="str">
        <f t="shared" si="0"/>
        <v/>
      </c>
    </row>
    <row r="50" spans="1:6" x14ac:dyDescent="0.3">
      <c r="A50" s="4">
        <v>44</v>
      </c>
      <c r="B50" s="5" t="s">
        <v>40</v>
      </c>
      <c r="C50" s="4"/>
      <c r="D50" s="4" t="s">
        <v>79</v>
      </c>
      <c r="E50" s="4"/>
      <c r="F50" s="4" t="str">
        <f t="shared" si="0"/>
        <v/>
      </c>
    </row>
    <row r="52" spans="1:6" x14ac:dyDescent="0.3">
      <c r="A52" s="6"/>
      <c r="B52" s="7" t="s">
        <v>41</v>
      </c>
      <c r="C52" s="6"/>
      <c r="D52" s="6"/>
      <c r="E52" s="6"/>
      <c r="F52" s="8">
        <f>SUM(F5:F50)</f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>
      <pane ySplit="4" topLeftCell="A36" activePane="bottomLeft" state="frozen"/>
      <selection pane="bottomLeft" activeCell="R10" sqref="R10:R16"/>
    </sheetView>
  </sheetViews>
  <sheetFormatPr defaultRowHeight="14.4" x14ac:dyDescent="0.3"/>
  <cols>
    <col min="1" max="1" width="8" customWidth="1"/>
    <col min="2" max="2" width="55" customWidth="1"/>
    <col min="3" max="5" width="14" customWidth="1"/>
    <col min="6" max="6" width="12" customWidth="1"/>
  </cols>
  <sheetData>
    <row r="1" spans="1:6" ht="18" x14ac:dyDescent="0.3">
      <c r="A1" s="12" t="s">
        <v>9</v>
      </c>
      <c r="B1" s="10"/>
      <c r="C1" s="10"/>
      <c r="D1" s="10"/>
      <c r="E1" s="10"/>
      <c r="F1" s="10"/>
    </row>
    <row r="2" spans="1:6" x14ac:dyDescent="0.3">
      <c r="A2" s="11" t="s">
        <v>10</v>
      </c>
      <c r="B2" s="10"/>
      <c r="C2" s="10"/>
      <c r="D2" s="10"/>
      <c r="E2" s="10"/>
      <c r="F2" s="10"/>
    </row>
    <row r="3" spans="1:6" x14ac:dyDescent="0.3">
      <c r="A3" s="11" t="s">
        <v>45</v>
      </c>
      <c r="B3" s="10"/>
      <c r="C3" s="10"/>
      <c r="D3" s="10"/>
      <c r="E3" s="10"/>
      <c r="F3" s="10"/>
    </row>
    <row r="4" spans="1:6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x14ac:dyDescent="0.3">
      <c r="A5" s="4">
        <v>1</v>
      </c>
      <c r="B5" s="5" t="s">
        <v>46</v>
      </c>
      <c r="C5" s="4"/>
      <c r="D5" s="4"/>
      <c r="E5" s="4"/>
      <c r="F5" s="4" t="str">
        <f t="shared" ref="F5:F36" si="0">IF(COUNT(C5:E5)=0,"",AVERAGE(C5:E5))</f>
        <v/>
      </c>
    </row>
    <row r="6" spans="1:6" x14ac:dyDescent="0.3">
      <c r="A6" s="4">
        <v>2</v>
      </c>
      <c r="B6" s="5" t="s">
        <v>19</v>
      </c>
      <c r="C6" s="4"/>
      <c r="D6" s="4"/>
      <c r="E6" s="4"/>
      <c r="F6" s="4" t="str">
        <f t="shared" si="0"/>
        <v/>
      </c>
    </row>
    <row r="7" spans="1:6" x14ac:dyDescent="0.3">
      <c r="A7" s="4">
        <v>3</v>
      </c>
      <c r="B7" s="5" t="s">
        <v>20</v>
      </c>
      <c r="C7" s="4"/>
      <c r="D7" s="4"/>
      <c r="E7" s="4"/>
      <c r="F7" s="4" t="str">
        <f t="shared" si="0"/>
        <v/>
      </c>
    </row>
    <row r="8" spans="1:6" x14ac:dyDescent="0.3">
      <c r="A8" s="4">
        <v>4</v>
      </c>
      <c r="B8" s="5" t="s">
        <v>21</v>
      </c>
      <c r="C8" s="4"/>
      <c r="D8" s="4"/>
      <c r="E8" s="4"/>
      <c r="F8" s="4" t="str">
        <f t="shared" si="0"/>
        <v/>
      </c>
    </row>
    <row r="9" spans="1:6" x14ac:dyDescent="0.3">
      <c r="A9" s="4">
        <v>5</v>
      </c>
      <c r="B9" s="5" t="s">
        <v>22</v>
      </c>
      <c r="C9" s="4"/>
      <c r="D9" s="4"/>
      <c r="E9" s="4"/>
      <c r="F9" s="4" t="str">
        <f t="shared" si="0"/>
        <v/>
      </c>
    </row>
    <row r="10" spans="1:6" x14ac:dyDescent="0.3">
      <c r="A10" s="4">
        <v>6</v>
      </c>
      <c r="B10" s="5" t="s">
        <v>23</v>
      </c>
      <c r="C10" s="4"/>
      <c r="D10" s="4"/>
      <c r="E10" s="4"/>
      <c r="F10" s="4" t="str">
        <f t="shared" si="0"/>
        <v/>
      </c>
    </row>
    <row r="11" spans="1:6" x14ac:dyDescent="0.3">
      <c r="A11" s="4">
        <v>7</v>
      </c>
      <c r="B11" s="5" t="s">
        <v>24</v>
      </c>
      <c r="C11" s="4"/>
      <c r="D11" s="4"/>
      <c r="E11" s="4"/>
      <c r="F11" s="4" t="str">
        <f t="shared" si="0"/>
        <v/>
      </c>
    </row>
    <row r="12" spans="1:6" x14ac:dyDescent="0.3">
      <c r="A12" s="4">
        <v>8</v>
      </c>
      <c r="B12" s="5" t="s">
        <v>25</v>
      </c>
      <c r="C12" s="4"/>
      <c r="D12" s="4"/>
      <c r="E12" s="4"/>
      <c r="F12" s="4" t="str">
        <f t="shared" si="0"/>
        <v/>
      </c>
    </row>
    <row r="13" spans="1:6" x14ac:dyDescent="0.3">
      <c r="A13" s="4">
        <v>9</v>
      </c>
      <c r="B13" s="5" t="s">
        <v>26</v>
      </c>
      <c r="C13" s="4"/>
      <c r="D13" s="4"/>
      <c r="E13" s="4"/>
      <c r="F13" s="4" t="str">
        <f t="shared" si="0"/>
        <v/>
      </c>
    </row>
    <row r="14" spans="1:6" x14ac:dyDescent="0.3">
      <c r="A14" s="4">
        <v>10</v>
      </c>
      <c r="B14" s="5" t="s">
        <v>27</v>
      </c>
      <c r="C14" s="4"/>
      <c r="D14" s="4"/>
      <c r="E14" s="4"/>
      <c r="F14" s="4" t="str">
        <f t="shared" si="0"/>
        <v/>
      </c>
    </row>
    <row r="15" spans="1:6" x14ac:dyDescent="0.3">
      <c r="A15" s="4">
        <v>11</v>
      </c>
      <c r="B15" s="5" t="s">
        <v>28</v>
      </c>
      <c r="C15" s="4"/>
      <c r="D15" s="4"/>
      <c r="E15" s="4"/>
      <c r="F15" s="4" t="str">
        <f t="shared" si="0"/>
        <v/>
      </c>
    </row>
    <row r="16" spans="1:6" x14ac:dyDescent="0.3">
      <c r="A16" s="4">
        <v>12</v>
      </c>
      <c r="B16" s="5" t="s">
        <v>29</v>
      </c>
      <c r="C16" s="4"/>
      <c r="D16" s="4"/>
      <c r="E16" s="4"/>
      <c r="F16" s="4" t="str">
        <f t="shared" si="0"/>
        <v/>
      </c>
    </row>
    <row r="17" spans="1:6" x14ac:dyDescent="0.3">
      <c r="A17" s="4">
        <v>13</v>
      </c>
      <c r="B17" s="5" t="s">
        <v>30</v>
      </c>
      <c r="C17" s="4"/>
      <c r="D17" s="4"/>
      <c r="E17" s="4"/>
      <c r="F17" s="4" t="str">
        <f t="shared" si="0"/>
        <v/>
      </c>
    </row>
    <row r="18" spans="1:6" x14ac:dyDescent="0.3">
      <c r="A18" s="4">
        <v>14</v>
      </c>
      <c r="B18" s="5" t="s">
        <v>23</v>
      </c>
      <c r="C18" s="4"/>
      <c r="D18" s="4"/>
      <c r="E18" s="4"/>
      <c r="F18" s="4" t="str">
        <f t="shared" si="0"/>
        <v/>
      </c>
    </row>
    <row r="19" spans="1:6" x14ac:dyDescent="0.3">
      <c r="A19" s="4">
        <v>15</v>
      </c>
      <c r="B19" s="5" t="s">
        <v>31</v>
      </c>
      <c r="C19" s="4"/>
      <c r="D19" s="4"/>
      <c r="E19" s="4"/>
      <c r="F19" s="4" t="str">
        <f t="shared" si="0"/>
        <v/>
      </c>
    </row>
    <row r="20" spans="1:6" x14ac:dyDescent="0.3">
      <c r="A20" s="4">
        <v>16</v>
      </c>
      <c r="B20" s="5" t="s">
        <v>32</v>
      </c>
      <c r="C20" s="4"/>
      <c r="D20" s="4"/>
      <c r="E20" s="4"/>
      <c r="F20" s="4" t="str">
        <f t="shared" si="0"/>
        <v/>
      </c>
    </row>
    <row r="21" spans="1:6" x14ac:dyDescent="0.3">
      <c r="A21" s="4">
        <v>17</v>
      </c>
      <c r="B21" s="5" t="s">
        <v>33</v>
      </c>
      <c r="C21" s="4"/>
      <c r="D21" s="4"/>
      <c r="E21" s="4"/>
      <c r="F21" s="4" t="str">
        <f t="shared" si="0"/>
        <v/>
      </c>
    </row>
    <row r="22" spans="1:6" x14ac:dyDescent="0.3">
      <c r="A22" s="4">
        <v>18</v>
      </c>
      <c r="B22" s="5" t="s">
        <v>24</v>
      </c>
      <c r="C22" s="4"/>
      <c r="D22" s="4"/>
      <c r="E22" s="4"/>
      <c r="F22" s="4" t="str">
        <f t="shared" si="0"/>
        <v/>
      </c>
    </row>
    <row r="23" spans="1:6" x14ac:dyDescent="0.3">
      <c r="A23" s="4">
        <v>19</v>
      </c>
      <c r="B23" s="5" t="s">
        <v>25</v>
      </c>
      <c r="C23" s="4"/>
      <c r="D23" s="4"/>
      <c r="E23" s="4"/>
      <c r="F23" s="4" t="str">
        <f t="shared" si="0"/>
        <v/>
      </c>
    </row>
    <row r="24" spans="1:6" x14ac:dyDescent="0.3">
      <c r="A24" s="4">
        <v>20</v>
      </c>
      <c r="B24" s="5" t="s">
        <v>26</v>
      </c>
      <c r="C24" s="4"/>
      <c r="D24" s="4"/>
      <c r="E24" s="4"/>
      <c r="F24" s="4" t="str">
        <f t="shared" si="0"/>
        <v/>
      </c>
    </row>
    <row r="25" spans="1:6" x14ac:dyDescent="0.3">
      <c r="A25" s="4">
        <v>21</v>
      </c>
      <c r="B25" s="5" t="s">
        <v>27</v>
      </c>
      <c r="C25" s="4"/>
      <c r="D25" s="4"/>
      <c r="E25" s="4"/>
      <c r="F25" s="4" t="str">
        <f t="shared" si="0"/>
        <v/>
      </c>
    </row>
    <row r="26" spans="1:6" x14ac:dyDescent="0.3">
      <c r="A26" s="4">
        <v>22</v>
      </c>
      <c r="B26" s="5" t="s">
        <v>28</v>
      </c>
      <c r="C26" s="4"/>
      <c r="D26" s="4"/>
      <c r="E26" s="4"/>
      <c r="F26" s="4" t="str">
        <f t="shared" si="0"/>
        <v/>
      </c>
    </row>
    <row r="27" spans="1:6" x14ac:dyDescent="0.3">
      <c r="A27" s="4">
        <v>23</v>
      </c>
      <c r="B27" s="5" t="s">
        <v>29</v>
      </c>
      <c r="C27" s="4"/>
      <c r="D27" s="4"/>
      <c r="E27" s="4"/>
      <c r="F27" s="4" t="str">
        <f t="shared" si="0"/>
        <v/>
      </c>
    </row>
    <row r="28" spans="1:6" x14ac:dyDescent="0.3">
      <c r="A28" s="4">
        <v>24</v>
      </c>
      <c r="B28" s="5" t="s">
        <v>30</v>
      </c>
      <c r="C28" s="4"/>
      <c r="D28" s="4"/>
      <c r="E28" s="4"/>
      <c r="F28" s="4" t="str">
        <f t="shared" si="0"/>
        <v/>
      </c>
    </row>
    <row r="29" spans="1:6" x14ac:dyDescent="0.3">
      <c r="A29" s="4">
        <v>25</v>
      </c>
      <c r="B29" s="5" t="s">
        <v>23</v>
      </c>
      <c r="C29" s="4"/>
      <c r="D29" s="4"/>
      <c r="E29" s="4"/>
      <c r="F29" s="4" t="str">
        <f t="shared" si="0"/>
        <v/>
      </c>
    </row>
    <row r="30" spans="1:6" x14ac:dyDescent="0.3">
      <c r="A30" s="4">
        <v>26</v>
      </c>
      <c r="B30" s="5" t="s">
        <v>44</v>
      </c>
      <c r="C30" s="4"/>
      <c r="D30" s="4"/>
      <c r="E30" s="4"/>
      <c r="F30" s="4" t="str">
        <f t="shared" si="0"/>
        <v/>
      </c>
    </row>
    <row r="31" spans="1:6" x14ac:dyDescent="0.3">
      <c r="A31" s="4">
        <v>27</v>
      </c>
      <c r="B31" s="5" t="s">
        <v>32</v>
      </c>
      <c r="C31" s="4"/>
      <c r="D31" s="4"/>
      <c r="E31" s="4"/>
      <c r="F31" s="4" t="str">
        <f t="shared" si="0"/>
        <v/>
      </c>
    </row>
    <row r="32" spans="1:6" x14ac:dyDescent="0.3">
      <c r="A32" s="4">
        <v>28</v>
      </c>
      <c r="B32" s="5" t="s">
        <v>33</v>
      </c>
      <c r="C32" s="4"/>
      <c r="D32" s="4"/>
      <c r="E32" s="4"/>
      <c r="F32" s="4" t="str">
        <f t="shared" si="0"/>
        <v/>
      </c>
    </row>
    <row r="33" spans="1:6" x14ac:dyDescent="0.3">
      <c r="A33" s="4">
        <v>29</v>
      </c>
      <c r="B33" s="5" t="s">
        <v>24</v>
      </c>
      <c r="C33" s="4"/>
      <c r="D33" s="4"/>
      <c r="E33" s="4"/>
      <c r="F33" s="4" t="str">
        <f t="shared" si="0"/>
        <v/>
      </c>
    </row>
    <row r="34" spans="1:6" x14ac:dyDescent="0.3">
      <c r="A34" s="4">
        <v>30</v>
      </c>
      <c r="B34" s="5" t="s">
        <v>25</v>
      </c>
      <c r="C34" s="4"/>
      <c r="D34" s="4"/>
      <c r="E34" s="4"/>
      <c r="F34" s="4" t="str">
        <f t="shared" si="0"/>
        <v/>
      </c>
    </row>
    <row r="35" spans="1:6" x14ac:dyDescent="0.3">
      <c r="A35" s="4">
        <v>31</v>
      </c>
      <c r="B35" s="5" t="s">
        <v>26</v>
      </c>
      <c r="C35" s="4"/>
      <c r="D35" s="4"/>
      <c r="E35" s="4"/>
      <c r="F35" s="4" t="str">
        <f t="shared" si="0"/>
        <v/>
      </c>
    </row>
    <row r="36" spans="1:6" x14ac:dyDescent="0.3">
      <c r="A36" s="4">
        <v>32</v>
      </c>
      <c r="B36" s="5" t="s">
        <v>27</v>
      </c>
      <c r="C36" s="4"/>
      <c r="D36" s="4"/>
      <c r="E36" s="4"/>
      <c r="F36" s="4" t="str">
        <f t="shared" si="0"/>
        <v/>
      </c>
    </row>
    <row r="37" spans="1:6" x14ac:dyDescent="0.3">
      <c r="A37" s="4">
        <v>33</v>
      </c>
      <c r="B37" s="5" t="s">
        <v>28</v>
      </c>
      <c r="C37" s="4"/>
      <c r="D37" s="4"/>
      <c r="E37" s="4"/>
      <c r="F37" s="4" t="str">
        <f t="shared" ref="F37:F68" si="1">IF(COUNT(C37:E37)=0,"",AVERAGE(C37:E37))</f>
        <v/>
      </c>
    </row>
    <row r="38" spans="1:6" x14ac:dyDescent="0.3">
      <c r="A38" s="4">
        <v>34</v>
      </c>
      <c r="B38" s="5" t="s">
        <v>29</v>
      </c>
      <c r="C38" s="4"/>
      <c r="D38" s="4"/>
      <c r="E38" s="4"/>
      <c r="F38" s="4" t="str">
        <f t="shared" si="1"/>
        <v/>
      </c>
    </row>
    <row r="39" spans="1:6" x14ac:dyDescent="0.3">
      <c r="A39" s="4">
        <v>35</v>
      </c>
      <c r="B39" s="5" t="s">
        <v>30</v>
      </c>
      <c r="C39" s="4"/>
      <c r="D39" s="4"/>
      <c r="E39" s="4"/>
      <c r="F39" s="4" t="str">
        <f t="shared" si="1"/>
        <v/>
      </c>
    </row>
    <row r="40" spans="1:6" x14ac:dyDescent="0.3">
      <c r="A40" s="4">
        <v>36</v>
      </c>
      <c r="B40" s="5" t="s">
        <v>23</v>
      </c>
      <c r="C40" s="4"/>
      <c r="D40" s="4"/>
      <c r="E40" s="4"/>
      <c r="F40" s="4" t="str">
        <f t="shared" si="1"/>
        <v/>
      </c>
    </row>
    <row r="41" spans="1:6" x14ac:dyDescent="0.3">
      <c r="A41" s="4">
        <v>37</v>
      </c>
      <c r="B41" s="5" t="s">
        <v>47</v>
      </c>
      <c r="C41" s="4"/>
      <c r="D41" s="4"/>
      <c r="E41" s="4"/>
      <c r="F41" s="4" t="str">
        <f t="shared" si="1"/>
        <v/>
      </c>
    </row>
    <row r="42" spans="1:6" x14ac:dyDescent="0.3">
      <c r="A42" s="4">
        <v>38</v>
      </c>
      <c r="B42" s="5" t="s">
        <v>32</v>
      </c>
      <c r="C42" s="4"/>
      <c r="D42" s="4"/>
      <c r="E42" s="4"/>
      <c r="F42" s="4" t="str">
        <f t="shared" si="1"/>
        <v/>
      </c>
    </row>
    <row r="43" spans="1:6" x14ac:dyDescent="0.3">
      <c r="A43" s="4">
        <v>39</v>
      </c>
      <c r="B43" s="5" t="s">
        <v>33</v>
      </c>
      <c r="C43" s="4"/>
      <c r="D43" s="4"/>
      <c r="E43" s="4"/>
      <c r="F43" s="4" t="str">
        <f t="shared" si="1"/>
        <v/>
      </c>
    </row>
    <row r="44" spans="1:6" x14ac:dyDescent="0.3">
      <c r="A44" s="4">
        <v>40</v>
      </c>
      <c r="B44" s="5" t="s">
        <v>24</v>
      </c>
      <c r="C44" s="4"/>
      <c r="D44" s="4"/>
      <c r="E44" s="4"/>
      <c r="F44" s="4" t="str">
        <f t="shared" si="1"/>
        <v/>
      </c>
    </row>
    <row r="45" spans="1:6" x14ac:dyDescent="0.3">
      <c r="A45" s="4">
        <v>41</v>
      </c>
      <c r="B45" s="5" t="s">
        <v>25</v>
      </c>
      <c r="C45" s="4"/>
      <c r="D45" s="4"/>
      <c r="E45" s="4"/>
      <c r="F45" s="4" t="str">
        <f t="shared" si="1"/>
        <v/>
      </c>
    </row>
    <row r="46" spans="1:6" x14ac:dyDescent="0.3">
      <c r="A46" s="4">
        <v>42</v>
      </c>
      <c r="B46" s="5" t="s">
        <v>26</v>
      </c>
      <c r="C46" s="4"/>
      <c r="D46" s="4"/>
      <c r="E46" s="4"/>
      <c r="F46" s="4" t="str">
        <f t="shared" si="1"/>
        <v/>
      </c>
    </row>
    <row r="47" spans="1:6" x14ac:dyDescent="0.3">
      <c r="A47" s="4">
        <v>43</v>
      </c>
      <c r="B47" s="5" t="s">
        <v>27</v>
      </c>
      <c r="C47" s="4"/>
      <c r="D47" s="4"/>
      <c r="E47" s="4"/>
      <c r="F47" s="4" t="str">
        <f t="shared" si="1"/>
        <v/>
      </c>
    </row>
    <row r="48" spans="1:6" x14ac:dyDescent="0.3">
      <c r="A48" s="4">
        <v>44</v>
      </c>
      <c r="B48" s="5" t="s">
        <v>28</v>
      </c>
      <c r="C48" s="4"/>
      <c r="D48" s="4"/>
      <c r="E48" s="4"/>
      <c r="F48" s="4" t="str">
        <f t="shared" si="1"/>
        <v/>
      </c>
    </row>
    <row r="49" spans="1:6" x14ac:dyDescent="0.3">
      <c r="A49" s="4">
        <v>45</v>
      </c>
      <c r="B49" s="5" t="s">
        <v>29</v>
      </c>
      <c r="C49" s="4"/>
      <c r="D49" s="4"/>
      <c r="E49" s="4"/>
      <c r="F49" s="4" t="str">
        <f t="shared" si="1"/>
        <v/>
      </c>
    </row>
    <row r="50" spans="1:6" x14ac:dyDescent="0.3">
      <c r="A50" s="4">
        <v>46</v>
      </c>
      <c r="B50" s="5" t="s">
        <v>30</v>
      </c>
      <c r="C50" s="4"/>
      <c r="D50" s="4"/>
      <c r="E50" s="4"/>
      <c r="F50" s="4" t="str">
        <f t="shared" si="1"/>
        <v/>
      </c>
    </row>
    <row r="51" spans="1:6" x14ac:dyDescent="0.3">
      <c r="A51" s="4">
        <v>47</v>
      </c>
      <c r="B51" s="5" t="s">
        <v>23</v>
      </c>
      <c r="C51" s="4"/>
      <c r="D51" s="4"/>
      <c r="E51" s="4"/>
      <c r="F51" s="4" t="str">
        <f t="shared" si="1"/>
        <v/>
      </c>
    </row>
    <row r="52" spans="1:6" x14ac:dyDescent="0.3">
      <c r="A52" s="4">
        <v>48</v>
      </c>
      <c r="B52" s="5" t="s">
        <v>34</v>
      </c>
      <c r="C52" s="4"/>
      <c r="D52" s="4"/>
      <c r="E52" s="4"/>
      <c r="F52" s="4" t="str">
        <f t="shared" si="1"/>
        <v/>
      </c>
    </row>
    <row r="53" spans="1:6" x14ac:dyDescent="0.3">
      <c r="A53" s="4">
        <v>49</v>
      </c>
      <c r="B53" s="5" t="s">
        <v>35</v>
      </c>
      <c r="C53" s="4"/>
      <c r="D53" s="4"/>
      <c r="E53" s="4"/>
      <c r="F53" s="4" t="str">
        <f t="shared" si="1"/>
        <v/>
      </c>
    </row>
    <row r="54" spans="1:6" x14ac:dyDescent="0.3">
      <c r="A54" s="4">
        <v>50</v>
      </c>
      <c r="B54" s="5" t="s">
        <v>18</v>
      </c>
      <c r="C54" s="4"/>
      <c r="D54" s="4"/>
      <c r="E54" s="4"/>
      <c r="F54" s="4" t="str">
        <f t="shared" si="1"/>
        <v/>
      </c>
    </row>
    <row r="55" spans="1:6" x14ac:dyDescent="0.3">
      <c r="A55" s="4">
        <v>51</v>
      </c>
      <c r="B55" s="5" t="s">
        <v>36</v>
      </c>
      <c r="C55" s="4"/>
      <c r="D55" s="4"/>
      <c r="E55" s="4"/>
      <c r="F55" s="4" t="str">
        <f t="shared" si="1"/>
        <v/>
      </c>
    </row>
    <row r="56" spans="1:6" x14ac:dyDescent="0.3">
      <c r="A56" s="4">
        <v>52</v>
      </c>
      <c r="B56" s="5" t="s">
        <v>37</v>
      </c>
      <c r="C56" s="4"/>
      <c r="D56" s="4"/>
      <c r="E56" s="4"/>
      <c r="F56" s="4" t="str">
        <f t="shared" si="1"/>
        <v/>
      </c>
    </row>
    <row r="57" spans="1:6" x14ac:dyDescent="0.3">
      <c r="A57" s="4">
        <v>53</v>
      </c>
      <c r="B57" s="5" t="s">
        <v>38</v>
      </c>
      <c r="C57" s="4"/>
      <c r="D57" s="4"/>
      <c r="E57" s="4"/>
      <c r="F57" s="4" t="str">
        <f t="shared" si="1"/>
        <v/>
      </c>
    </row>
    <row r="58" spans="1:6" x14ac:dyDescent="0.3">
      <c r="A58" s="4">
        <v>54</v>
      </c>
      <c r="B58" s="5" t="s">
        <v>39</v>
      </c>
      <c r="C58" s="4"/>
      <c r="D58" s="4"/>
      <c r="E58" s="4"/>
      <c r="F58" s="4" t="str">
        <f t="shared" si="1"/>
        <v/>
      </c>
    </row>
    <row r="59" spans="1:6" x14ac:dyDescent="0.3">
      <c r="A59" s="4">
        <v>55</v>
      </c>
      <c r="B59" s="5" t="s">
        <v>40</v>
      </c>
      <c r="C59" s="4"/>
      <c r="D59" s="4"/>
      <c r="E59" s="4"/>
      <c r="F59" s="4" t="str">
        <f t="shared" si="1"/>
        <v/>
      </c>
    </row>
    <row r="61" spans="1:6" x14ac:dyDescent="0.3">
      <c r="A61" s="6"/>
      <c r="B61" s="7" t="s">
        <v>41</v>
      </c>
      <c r="C61" s="6"/>
      <c r="D61" s="6"/>
      <c r="E61" s="6"/>
      <c r="F61" s="8">
        <f>SUM(F5:F59)</f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pane ySplit="4" topLeftCell="A5" activePane="bottomLeft" state="frozen"/>
      <selection pane="bottomLeft" activeCell="A14" sqref="A14:A27"/>
    </sheetView>
  </sheetViews>
  <sheetFormatPr defaultRowHeight="14.4" x14ac:dyDescent="0.3"/>
  <cols>
    <col min="1" max="1" width="8" customWidth="1"/>
    <col min="2" max="2" width="55" customWidth="1"/>
    <col min="3" max="5" width="14" customWidth="1"/>
    <col min="6" max="6" width="12" customWidth="1"/>
  </cols>
  <sheetData>
    <row r="1" spans="1:6" ht="18" x14ac:dyDescent="0.3">
      <c r="A1" s="12" t="s">
        <v>9</v>
      </c>
      <c r="B1" s="10"/>
      <c r="C1" s="10"/>
      <c r="D1" s="10"/>
      <c r="E1" s="10"/>
      <c r="F1" s="10"/>
    </row>
    <row r="2" spans="1:6" x14ac:dyDescent="0.3">
      <c r="A2" s="11" t="s">
        <v>10</v>
      </c>
      <c r="B2" s="10"/>
      <c r="C2" s="10"/>
      <c r="D2" s="10"/>
      <c r="E2" s="10"/>
      <c r="F2" s="10"/>
    </row>
    <row r="3" spans="1:6" x14ac:dyDescent="0.3">
      <c r="A3" s="11" t="s">
        <v>48</v>
      </c>
      <c r="B3" s="10"/>
      <c r="C3" s="10"/>
      <c r="D3" s="10"/>
      <c r="E3" s="10"/>
      <c r="F3" s="10"/>
    </row>
    <row r="4" spans="1:6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x14ac:dyDescent="0.3">
      <c r="A5" s="4">
        <v>1</v>
      </c>
      <c r="B5" s="5" t="s">
        <v>49</v>
      </c>
      <c r="C5" s="4"/>
      <c r="D5" s="4"/>
      <c r="E5" s="4"/>
      <c r="F5" s="4" t="str">
        <f t="shared" ref="F5:F27" si="0">IF(COUNT(C5:E5)=0,"",AVERAGE(C5:E5))</f>
        <v/>
      </c>
    </row>
    <row r="6" spans="1:6" x14ac:dyDescent="0.3">
      <c r="A6" s="4">
        <v>2</v>
      </c>
      <c r="B6" s="5" t="s">
        <v>50</v>
      </c>
      <c r="C6" s="4"/>
      <c r="D6" s="4"/>
      <c r="E6" s="4"/>
      <c r="F6" s="4" t="str">
        <f t="shared" si="0"/>
        <v/>
      </c>
    </row>
    <row r="7" spans="1:6" x14ac:dyDescent="0.3">
      <c r="A7" s="4">
        <v>3</v>
      </c>
      <c r="B7" s="5" t="s">
        <v>51</v>
      </c>
      <c r="C7" s="4"/>
      <c r="D7" s="4"/>
      <c r="E7" s="4"/>
      <c r="F7" s="4" t="str">
        <f t="shared" si="0"/>
        <v/>
      </c>
    </row>
    <row r="8" spans="1:6" x14ac:dyDescent="0.3">
      <c r="A8" s="4">
        <v>4</v>
      </c>
      <c r="B8" s="5" t="s">
        <v>52</v>
      </c>
      <c r="C8" s="4"/>
      <c r="D8" s="4"/>
      <c r="E8" s="4"/>
      <c r="F8" s="4" t="str">
        <f t="shared" si="0"/>
        <v/>
      </c>
    </row>
    <row r="9" spans="1:6" x14ac:dyDescent="0.3">
      <c r="A9" s="4">
        <v>5</v>
      </c>
      <c r="B9" s="5" t="s">
        <v>53</v>
      </c>
      <c r="C9" s="4"/>
      <c r="D9" s="4"/>
      <c r="E9" s="4"/>
      <c r="F9" s="4" t="str">
        <f t="shared" si="0"/>
        <v/>
      </c>
    </row>
    <row r="10" spans="1:6" x14ac:dyDescent="0.3">
      <c r="A10" s="4">
        <v>6</v>
      </c>
      <c r="B10" s="5" t="s">
        <v>54</v>
      </c>
      <c r="C10" s="4"/>
      <c r="D10" s="4"/>
      <c r="E10" s="4"/>
      <c r="F10" s="4" t="str">
        <f t="shared" si="0"/>
        <v/>
      </c>
    </row>
    <row r="11" spans="1:6" x14ac:dyDescent="0.3">
      <c r="A11" s="4">
        <v>7</v>
      </c>
      <c r="B11" s="5" t="s">
        <v>55</v>
      </c>
      <c r="C11" s="4"/>
      <c r="D11" s="4"/>
      <c r="E11" s="4"/>
      <c r="F11" s="4" t="str">
        <f t="shared" si="0"/>
        <v/>
      </c>
    </row>
    <row r="12" spans="1:6" x14ac:dyDescent="0.3">
      <c r="A12" s="4">
        <v>8</v>
      </c>
      <c r="B12" s="5" t="s">
        <v>56</v>
      </c>
      <c r="C12" s="4"/>
      <c r="D12" s="4"/>
      <c r="E12" s="4"/>
      <c r="F12" s="4" t="str">
        <f t="shared" si="0"/>
        <v/>
      </c>
    </row>
    <row r="13" spans="1:6" x14ac:dyDescent="0.3">
      <c r="A13" s="4">
        <v>9</v>
      </c>
      <c r="B13" s="5" t="s">
        <v>57</v>
      </c>
      <c r="C13" s="4"/>
      <c r="D13" s="4"/>
      <c r="E13" s="4"/>
      <c r="F13" s="4" t="str">
        <f t="shared" si="0"/>
        <v/>
      </c>
    </row>
    <row r="14" spans="1:6" x14ac:dyDescent="0.3">
      <c r="A14" s="4">
        <v>10</v>
      </c>
      <c r="B14" s="5" t="s">
        <v>58</v>
      </c>
      <c r="C14" s="4"/>
      <c r="D14" s="4"/>
      <c r="E14" s="4"/>
      <c r="F14" s="4" t="str">
        <f t="shared" si="0"/>
        <v/>
      </c>
    </row>
    <row r="15" spans="1:6" x14ac:dyDescent="0.3">
      <c r="A15" s="4">
        <v>11</v>
      </c>
      <c r="B15" s="5" t="s">
        <v>59</v>
      </c>
      <c r="C15" s="4"/>
      <c r="D15" s="4"/>
      <c r="E15" s="4"/>
      <c r="F15" s="4" t="str">
        <f t="shared" si="0"/>
        <v/>
      </c>
    </row>
    <row r="16" spans="1:6" x14ac:dyDescent="0.3">
      <c r="A16" s="4">
        <v>12</v>
      </c>
      <c r="B16" s="5" t="s">
        <v>60</v>
      </c>
      <c r="C16" s="4"/>
      <c r="D16" s="4"/>
      <c r="E16" s="4"/>
      <c r="F16" s="4" t="str">
        <f t="shared" si="0"/>
        <v/>
      </c>
    </row>
    <row r="17" spans="1:6" x14ac:dyDescent="0.3">
      <c r="A17" s="4">
        <v>13</v>
      </c>
      <c r="B17" s="13" t="s">
        <v>71</v>
      </c>
      <c r="C17" s="4"/>
      <c r="D17" s="4"/>
      <c r="E17" s="4"/>
      <c r="F17" s="4" t="str">
        <f t="shared" si="0"/>
        <v/>
      </c>
    </row>
    <row r="18" spans="1:6" x14ac:dyDescent="0.3">
      <c r="A18" s="4">
        <v>14</v>
      </c>
      <c r="B18" s="5" t="s">
        <v>72</v>
      </c>
      <c r="C18" s="4"/>
      <c r="D18" s="4"/>
      <c r="E18" s="4"/>
      <c r="F18" s="4"/>
    </row>
    <row r="19" spans="1:6" x14ac:dyDescent="0.3">
      <c r="A19" s="4">
        <v>15</v>
      </c>
      <c r="B19" s="5" t="s">
        <v>61</v>
      </c>
      <c r="C19" s="4"/>
      <c r="D19" s="4"/>
      <c r="E19" s="4"/>
      <c r="F19" s="4" t="str">
        <f t="shared" si="0"/>
        <v/>
      </c>
    </row>
    <row r="20" spans="1:6" x14ac:dyDescent="0.3">
      <c r="A20" s="4">
        <v>16</v>
      </c>
      <c r="B20" s="5" t="s">
        <v>62</v>
      </c>
      <c r="C20" s="4"/>
      <c r="D20" s="4"/>
      <c r="E20" s="4"/>
      <c r="F20" s="4" t="str">
        <f t="shared" si="0"/>
        <v/>
      </c>
    </row>
    <row r="21" spans="1:6" x14ac:dyDescent="0.3">
      <c r="A21" s="4">
        <v>17</v>
      </c>
      <c r="B21" s="5" t="s">
        <v>63</v>
      </c>
      <c r="C21" s="4"/>
      <c r="D21" s="4"/>
      <c r="E21" s="4"/>
      <c r="F21" s="4" t="str">
        <f t="shared" si="0"/>
        <v/>
      </c>
    </row>
    <row r="22" spans="1:6" x14ac:dyDescent="0.3">
      <c r="A22" s="4">
        <v>18</v>
      </c>
      <c r="B22" s="5" t="s">
        <v>64</v>
      </c>
      <c r="C22" s="4"/>
      <c r="D22" s="4"/>
      <c r="E22" s="4"/>
      <c r="F22" s="4" t="str">
        <f t="shared" si="0"/>
        <v/>
      </c>
    </row>
    <row r="23" spans="1:6" x14ac:dyDescent="0.3">
      <c r="A23" s="4">
        <v>19</v>
      </c>
      <c r="B23" s="5" t="s">
        <v>65</v>
      </c>
      <c r="C23" s="4"/>
      <c r="D23" s="4"/>
      <c r="E23" s="4"/>
      <c r="F23" s="4" t="str">
        <f t="shared" si="0"/>
        <v/>
      </c>
    </row>
    <row r="24" spans="1:6" x14ac:dyDescent="0.3">
      <c r="A24" s="4">
        <v>20</v>
      </c>
      <c r="B24" s="13" t="s">
        <v>73</v>
      </c>
      <c r="C24" s="4"/>
      <c r="D24" s="4"/>
      <c r="E24" s="4"/>
      <c r="F24" s="4" t="str">
        <f t="shared" si="0"/>
        <v/>
      </c>
    </row>
    <row r="25" spans="1:6" x14ac:dyDescent="0.3">
      <c r="A25" s="4">
        <v>21</v>
      </c>
      <c r="B25" s="14" t="s">
        <v>74</v>
      </c>
      <c r="C25" s="4"/>
      <c r="D25" s="4"/>
      <c r="E25" s="4"/>
      <c r="F25" s="4"/>
    </row>
    <row r="26" spans="1:6" x14ac:dyDescent="0.3">
      <c r="A26" s="4">
        <v>22</v>
      </c>
      <c r="B26" s="5" t="s">
        <v>66</v>
      </c>
      <c r="C26" s="4"/>
      <c r="D26" s="4"/>
      <c r="E26" s="4"/>
      <c r="F26" s="4" t="str">
        <f t="shared" si="0"/>
        <v/>
      </c>
    </row>
    <row r="27" spans="1:6" x14ac:dyDescent="0.3">
      <c r="A27" s="4">
        <v>23</v>
      </c>
      <c r="B27" s="5" t="s">
        <v>67</v>
      </c>
      <c r="C27" s="4"/>
      <c r="D27" s="4"/>
      <c r="E27" s="4"/>
      <c r="F27" s="4" t="str">
        <f t="shared" si="0"/>
        <v/>
      </c>
    </row>
    <row r="29" spans="1:6" x14ac:dyDescent="0.3">
      <c r="A29" s="6"/>
      <c r="B29" s="7" t="s">
        <v>41</v>
      </c>
      <c r="C29" s="6"/>
      <c r="D29" s="6"/>
      <c r="E29" s="6"/>
      <c r="F29" s="8">
        <f>SUM(F5:F27)</f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TWO PROFILE PICK UP (2)</vt:lpstr>
      <vt:lpstr>SUMMARY</vt:lpstr>
      <vt:lpstr>TWO PROFILE PICK UP</vt:lpstr>
      <vt:lpstr>THREE PROFILE PICK UP</vt:lpstr>
      <vt:lpstr>FOUR PROFILE PICK UP</vt:lpstr>
      <vt:lpstr>TWIST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Papa Nii Lamptey</cp:lastModifiedBy>
  <dcterms:created xsi:type="dcterms:W3CDTF">2026-02-11T00:25:05Z</dcterms:created>
  <dcterms:modified xsi:type="dcterms:W3CDTF">2026-02-11T05:15:30Z</dcterms:modified>
</cp:coreProperties>
</file>