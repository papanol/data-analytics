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 PROFILE PICK UP (2)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WO PROFILE PICK UP" sheetId="3" state="visible" r:id="rId3"/>
    <sheet xmlns:r="http://schemas.openxmlformats.org/officeDocument/2006/relationships" name="THREE PROFILE PICK UP" sheetId="4" state="visible" r:id="rId4"/>
    <sheet xmlns:r="http://schemas.openxmlformats.org/officeDocument/2006/relationships" name="FOUR PROFILE PICK UP" sheetId="5" state="visible" r:id="rId5"/>
    <sheet xmlns:r="http://schemas.openxmlformats.org/officeDocument/2006/relationships" name="TWIST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B4C6E7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2" fontId="0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pivotButton="0" quotePrefix="0" xfId="0"/>
    <xf numFmtId="0" fontId="1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0" fontId="0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12" customWidth="1" min="6" max="6"/>
  </cols>
  <sheetData>
    <row r="1" ht="18" customHeight="1">
      <c r="A1" s="1" t="inlineStr">
        <is>
          <t>Time Study</t>
        </is>
      </c>
    </row>
    <row r="2">
      <c r="A2" s="2" t="inlineStr">
        <is>
          <t>PROCESS ACTION</t>
        </is>
      </c>
    </row>
    <row r="3">
      <c r="A3" s="2" t="inlineStr">
        <is>
          <t>Rework Angel &amp; Gaganpreet  — TWO PROFILE PICK UP</t>
        </is>
      </c>
    </row>
    <row r="4">
      <c r="A4" s="3" t="inlineStr">
        <is>
          <t>Step #</t>
        </is>
      </c>
      <c r="B4" s="3" t="inlineStr">
        <is>
          <t>Action</t>
        </is>
      </c>
      <c r="C4" s="3" t="inlineStr">
        <is>
          <t>Trial 1 (sec)</t>
        </is>
      </c>
      <c r="D4" s="4" t="inlineStr">
        <is>
          <t>Duration (C)</t>
        </is>
      </c>
      <c r="E4" s="3" t="inlineStr">
        <is>
          <t>Trial 2 (sec)</t>
        </is>
      </c>
      <c r="F4" s="4" t="inlineStr">
        <is>
          <t>Duration (D)</t>
        </is>
      </c>
      <c r="G4" s="3" t="inlineStr">
        <is>
          <t>Trial 3 (sec)</t>
        </is>
      </c>
      <c r="H4" s="4" t="inlineStr">
        <is>
          <t>Duration (E)</t>
        </is>
      </c>
      <c r="I4" s="3" t="inlineStr">
        <is>
          <t>Avg (sec)</t>
        </is>
      </c>
    </row>
    <row r="5">
      <c r="A5" s="5" t="n">
        <v>1</v>
      </c>
      <c r="B5" s="6" t="inlineStr">
        <is>
          <t>Pick up two profiles at a time</t>
        </is>
      </c>
      <c r="C5" s="5" t="n">
        <v>2.28</v>
      </c>
      <c r="D5" s="7" t="n"/>
      <c r="E5" s="5" t="n">
        <v>50.07</v>
      </c>
      <c r="F5" s="7" t="n"/>
      <c r="G5" s="5" t="inlineStr">
        <is>
          <t>1.42.01</t>
        </is>
      </c>
      <c r="H5" s="7" t="n"/>
      <c r="I5" s="5">
        <f>IF(COUNT(C5:E5)=0,"",AVERAGE(C5:E5))</f>
        <v/>
      </c>
    </row>
    <row r="6">
      <c r="A6" s="5" t="n">
        <v>2</v>
      </c>
      <c r="B6" s="6" t="inlineStr">
        <is>
          <t>Walk to the press</t>
        </is>
      </c>
      <c r="C6" s="5" t="n">
        <v>7.05</v>
      </c>
      <c r="D6" s="7" t="n">
        <v>4.77</v>
      </c>
      <c r="E6" s="5" t="n">
        <v>55.3</v>
      </c>
      <c r="F6" s="7" t="n">
        <v>5.229999999999997</v>
      </c>
      <c r="G6" s="5" t="n"/>
      <c r="H6" s="7" t="n"/>
      <c r="I6" s="5">
        <f>IF(COUNT(C6:E6)=0,"",AVERAGE(C6:E6))</f>
        <v/>
      </c>
    </row>
    <row r="7">
      <c r="A7" s="5" t="n">
        <v>3</v>
      </c>
      <c r="B7" s="6" t="inlineStr">
        <is>
          <t>Set profiles gap side up on the rail</t>
        </is>
      </c>
      <c r="C7" s="5" t="n">
        <v>7.33</v>
      </c>
      <c r="D7" s="7" t="n">
        <v>0.2800000000000002</v>
      </c>
      <c r="E7" s="5" t="n">
        <v>56</v>
      </c>
      <c r="F7" s="7" t="n">
        <v>0.7000000000000028</v>
      </c>
      <c r="G7" s="5" t="n"/>
      <c r="H7" s="7" t="n"/>
      <c r="I7" s="5">
        <f>IF(COUNT(C7:E7)=0,"",AVERAGE(C7:E7))</f>
        <v/>
      </c>
    </row>
    <row r="8">
      <c r="A8" s="5" t="n">
        <v>4</v>
      </c>
      <c r="B8" s="6" t="inlineStr">
        <is>
          <t>Pick clamp bar with the one hand</t>
        </is>
      </c>
      <c r="C8" s="5" t="n">
        <v>8.08</v>
      </c>
      <c r="D8" s="7" t="n">
        <v>0.75</v>
      </c>
      <c r="E8" s="5" t="n"/>
      <c r="F8" s="7" t="n"/>
      <c r="G8" s="5" t="n"/>
      <c r="H8" s="7" t="n"/>
      <c r="I8" s="5">
        <f>IF(COUNT(C8:E8)=0,"",AVERAGE(C8:E8))</f>
        <v/>
      </c>
    </row>
    <row r="9" ht="28.8" customHeight="1">
      <c r="A9" s="5" t="n">
        <v>5</v>
      </c>
      <c r="B9" s="6" t="inlineStr">
        <is>
          <t>Pick up profile and place side ways on the press with the other hand and place clamp bar on it</t>
        </is>
      </c>
      <c r="C9" s="5" t="n">
        <v>10.17</v>
      </c>
      <c r="D9" s="7" t="n">
        <v>2.09</v>
      </c>
      <c r="E9" s="5" t="n">
        <v>59.09</v>
      </c>
      <c r="F9" s="7" t="n">
        <v>3.090000000000003</v>
      </c>
      <c r="G9" s="5" t="n"/>
      <c r="H9" s="7" t="n"/>
      <c r="I9" s="5">
        <f>IF(COUNT(C9:E9)=0,"",AVERAGE(C9:E9))</f>
        <v/>
      </c>
    </row>
    <row r="10">
      <c r="A10" s="5" t="n">
        <v>8</v>
      </c>
      <c r="B10" s="6" t="inlineStr">
        <is>
          <t>Take two steps away from press towards panel</t>
        </is>
      </c>
      <c r="C10" s="5" t="n">
        <v>13.04</v>
      </c>
      <c r="D10" s="7" t="n">
        <v>2.869999999999999</v>
      </c>
      <c r="E10" s="5" t="inlineStr">
        <is>
          <t>1.0.23</t>
        </is>
      </c>
      <c r="F10" s="7" t="n">
        <v>1.139999999999993</v>
      </c>
      <c r="G10" s="5" t="n"/>
      <c r="H10" s="7" t="n"/>
      <c r="I10" s="5">
        <f>IF(COUNT(C10:E10)=0,"",AVERAGE(C10:E10))</f>
        <v/>
      </c>
    </row>
    <row r="11">
      <c r="A11" s="5" t="n">
        <v>9</v>
      </c>
      <c r="B11" s="6" t="inlineStr">
        <is>
          <t>Two hand to start the press</t>
        </is>
      </c>
      <c r="C11" s="5" t="n">
        <v>14.06</v>
      </c>
      <c r="D11" s="7" t="n">
        <v>1.020000000000001</v>
      </c>
      <c r="E11" s="5" t="n"/>
      <c r="F11" s="7" t="n"/>
      <c r="G11" s="5" t="n"/>
      <c r="H11" s="7" t="n"/>
      <c r="I11" s="5">
        <f>IF(COUNT(C11:E11)=0,"",AVERAGE(C11:E11))</f>
        <v/>
      </c>
    </row>
    <row r="12">
      <c r="A12" s="5" t="n">
        <v>10</v>
      </c>
      <c r="B12" s="6" t="inlineStr">
        <is>
          <t>Press wait</t>
        </is>
      </c>
      <c r="C12" s="5" t="n"/>
      <c r="D12" s="7" t="n"/>
      <c r="E12" s="5" t="inlineStr">
        <is>
          <t>1.2.19</t>
        </is>
      </c>
      <c r="F12" s="7" t="n">
        <v>1.960000000000001</v>
      </c>
      <c r="G12" s="5" t="n"/>
      <c r="H12" s="7" t="n"/>
      <c r="I12" s="5">
        <f>IF(COUNT(C12:E12)=0,"",AVERAGE(C12:E12))</f>
        <v/>
      </c>
    </row>
    <row r="13">
      <c r="A13" s="5" t="n">
        <v>11</v>
      </c>
      <c r="B13" s="6" t="inlineStr">
        <is>
          <t xml:space="preserve">Pick up clamp bar with one hand </t>
        </is>
      </c>
      <c r="C13" s="5" t="n">
        <v>15.14</v>
      </c>
      <c r="D13" s="7" t="n">
        <v>1.08</v>
      </c>
      <c r="E13" s="5" t="inlineStr">
        <is>
          <t xml:space="preserve"> 1.4.6 </t>
        </is>
      </c>
      <c r="F13" s="7" t="n">
        <v>1.870000000000005</v>
      </c>
      <c r="G13" s="5" t="n"/>
      <c r="H13" s="7" t="n"/>
      <c r="I13" s="5">
        <f>IF(COUNT(C13:E13)=0,"",AVERAGE(C13:E13))</f>
        <v/>
      </c>
    </row>
    <row r="14">
      <c r="A14" s="5" t="n">
        <v>12</v>
      </c>
      <c r="B14" s="6" t="inlineStr">
        <is>
          <t>Pick up first profile and place it on the rail</t>
        </is>
      </c>
      <c r="C14" s="5" t="n">
        <v>16.27</v>
      </c>
      <c r="D14" s="7" t="n">
        <v>1.129999999999999</v>
      </c>
      <c r="E14" s="5" t="n"/>
      <c r="F14" s="7" t="n"/>
      <c r="G14" s="5" t="n"/>
      <c r="H14" s="7" t="n"/>
      <c r="I14" s="5">
        <f>IF(COUNT(C14:E14)=0,"",AVERAGE(C14:E14))</f>
        <v/>
      </c>
    </row>
    <row r="15" ht="28.8" customHeight="1">
      <c r="A15" s="5" t="n">
        <v>14</v>
      </c>
      <c r="B15" s="6" t="inlineStr">
        <is>
          <t>pick up second profile and place it on the clamp, put the clamp bar on the second profile</t>
        </is>
      </c>
      <c r="D15" s="7" t="n"/>
      <c r="F15" s="7" t="n"/>
      <c r="G15" s="5" t="n"/>
      <c r="H15" s="7" t="n"/>
      <c r="I15" s="5">
        <f>IF(COUNT(C15:E15)=0,"",AVERAGE(C15:E15))</f>
        <v/>
      </c>
    </row>
    <row r="16">
      <c r="A16" s="5" t="n">
        <v>15</v>
      </c>
      <c r="B16" s="6" t="inlineStr">
        <is>
          <t>Pick up second profile</t>
        </is>
      </c>
      <c r="C16" s="5" t="n">
        <v>17.16</v>
      </c>
      <c r="D16" s="7" t="n">
        <v>0.8900000000000006</v>
      </c>
      <c r="E16" s="5" t="inlineStr">
        <is>
          <t>1.05.16</t>
        </is>
      </c>
      <c r="F16" s="7" t="n">
        <v>1.099999999999994</v>
      </c>
      <c r="G16" s="5" t="n"/>
      <c r="H16" s="7" t="n"/>
      <c r="I16" s="5">
        <f>IF(COUNT(C16:E16)=0,"",AVERAGE(C16:E16))</f>
        <v/>
      </c>
    </row>
    <row r="17">
      <c r="A17" s="5" t="n">
        <v>16</v>
      </c>
      <c r="B17" s="6" t="inlineStr">
        <is>
          <t>Turn sideways</t>
        </is>
      </c>
      <c r="C17" s="5" t="n"/>
      <c r="D17" s="7" t="n"/>
      <c r="E17" s="5" t="n"/>
      <c r="F17" s="7" t="n"/>
      <c r="G17" s="5" t="n"/>
      <c r="H17" s="7" t="n"/>
      <c r="I17" s="5">
        <f>IF(COUNT(C17:E17)=0,"",AVERAGE(C17:E17))</f>
        <v/>
      </c>
    </row>
    <row r="18">
      <c r="A18" s="5" t="n">
        <v>17</v>
      </c>
      <c r="B18" s="6" t="inlineStr">
        <is>
          <t>Place profile on clamp</t>
        </is>
      </c>
      <c r="C18" s="5" t="n"/>
      <c r="D18" s="7" t="n"/>
      <c r="E18" s="5" t="n"/>
      <c r="F18" s="7" t="n"/>
      <c r="G18" s="5" t="n"/>
      <c r="H18" s="7" t="n"/>
      <c r="I18" s="5">
        <f>IF(COUNT(C18:E18)=0,"",AVERAGE(C18:E18))</f>
        <v/>
      </c>
    </row>
    <row r="19">
      <c r="A19" s="5" t="n">
        <v>18</v>
      </c>
      <c r="B19" s="6" t="inlineStr">
        <is>
          <t>Place clamp bar on profile</t>
        </is>
      </c>
      <c r="C19" s="5" t="n">
        <v>19.25</v>
      </c>
      <c r="D19" s="7" t="n">
        <v>2.09</v>
      </c>
      <c r="E19" s="5" t="inlineStr">
        <is>
          <t>1.7.25</t>
        </is>
      </c>
      <c r="F19" s="7" t="n">
        <v>2.090000000000003</v>
      </c>
      <c r="G19" s="5" t="n"/>
      <c r="H19" s="7" t="n"/>
      <c r="I19" s="5">
        <f>IF(COUNT(C19:E19)=0,"",AVERAGE(C19:E19))</f>
        <v/>
      </c>
    </row>
    <row r="20">
      <c r="A20" s="5" t="n">
        <v>19</v>
      </c>
      <c r="B20" s="6" t="inlineStr">
        <is>
          <t>Take two steps away from press towards panel A &amp;G</t>
        </is>
      </c>
      <c r="C20" s="5" t="n">
        <v>20.21</v>
      </c>
      <c r="D20" s="7" t="n">
        <v>0.9600000000000009</v>
      </c>
      <c r="E20" s="5" t="inlineStr">
        <is>
          <t>1.08.28</t>
        </is>
      </c>
      <c r="F20" s="7" t="n">
        <v>1.030000000000001</v>
      </c>
      <c r="G20" s="5" t="n"/>
      <c r="H20" s="7" t="n"/>
      <c r="I20" s="5">
        <f>IF(COUNT(C20:E20)=0,"",AVERAGE(C20:E20))</f>
        <v/>
      </c>
    </row>
    <row r="21">
      <c r="A21" s="5" t="n">
        <v>20</v>
      </c>
      <c r="B21" s="6" t="inlineStr">
        <is>
          <t>Two hand to start the press</t>
        </is>
      </c>
      <c r="C21" s="5" t="n"/>
      <c r="D21" s="7" t="n"/>
      <c r="E21" s="5" t="n"/>
      <c r="F21" s="7" t="n"/>
      <c r="G21" s="5" t="n"/>
      <c r="H21" s="7" t="n"/>
      <c r="I21" s="5">
        <f>IF(COUNT(C21:E21)=0,"",AVERAGE(C21:E21))</f>
        <v/>
      </c>
    </row>
    <row r="22">
      <c r="A22" s="5" t="n">
        <v>21</v>
      </c>
      <c r="B22" s="6" t="inlineStr">
        <is>
          <t>Press wait</t>
        </is>
      </c>
      <c r="C22" s="5" t="n">
        <v>22.19</v>
      </c>
      <c r="D22" s="7" t="n">
        <v>1.98</v>
      </c>
      <c r="E22" s="5" t="n"/>
      <c r="F22" s="7" t="n"/>
      <c r="G22" s="5" t="n"/>
      <c r="H22" s="7" t="n"/>
      <c r="I22" s="5">
        <f>IF(COUNT(C22:E22)=0,"",AVERAGE(C22:E22))</f>
        <v/>
      </c>
    </row>
    <row r="23">
      <c r="A23" s="5" t="n">
        <v>22</v>
      </c>
      <c r="B23" s="6" t="inlineStr">
        <is>
          <t>Take two steps toward press</t>
        </is>
      </c>
      <c r="C23" s="5" t="n">
        <v>24.03</v>
      </c>
      <c r="D23" s="7" t="n">
        <v>1.84</v>
      </c>
      <c r="E23" s="5" t="inlineStr">
        <is>
          <t>1.11.9</t>
        </is>
      </c>
      <c r="F23" s="7" t="n">
        <v>2.810000000000002</v>
      </c>
      <c r="G23" s="5" t="n"/>
      <c r="H23" s="7" t="n"/>
      <c r="I23" s="5">
        <f>IF(COUNT(C23:E23)=0,"",AVERAGE(C23:E23))</f>
        <v/>
      </c>
    </row>
    <row r="24">
      <c r="A24" s="5" t="n">
        <v>23</v>
      </c>
      <c r="B24" s="6" t="inlineStr">
        <is>
          <t xml:space="preserve"> </t>
        </is>
      </c>
      <c r="C24" s="5" t="inlineStr">
        <is>
          <t xml:space="preserve"> </t>
        </is>
      </c>
      <c r="D24" s="7" t="n"/>
      <c r="E24" s="5" t="n"/>
      <c r="F24" s="7" t="n"/>
      <c r="G24" s="5" t="n"/>
      <c r="H24" s="7" t="n"/>
      <c r="I24" s="5">
        <f>IF(COUNT(C24:E24)=0,"",AVERAGE(C24:E24))</f>
        <v/>
      </c>
    </row>
    <row r="25">
      <c r="A25" s="5" t="n">
        <v>24</v>
      </c>
      <c r="B25" s="6" t="inlineStr">
        <is>
          <t>Turn profile to gap side up</t>
        </is>
      </c>
      <c r="C25" s="5" t="n"/>
      <c r="D25" s="7" t="n"/>
      <c r="E25" s="5" t="inlineStr">
        <is>
          <t>1.12.14</t>
        </is>
      </c>
      <c r="F25" s="7" t="n">
        <v>1.049999999999997</v>
      </c>
      <c r="G25" s="5" t="n"/>
      <c r="H25" s="7" t="n"/>
      <c r="I25" s="5">
        <f>IF(COUNT(C25:E25)=0,"",AVERAGE(C25:E25))</f>
        <v/>
      </c>
    </row>
    <row r="26">
      <c r="A26" s="5" t="n">
        <v>25</v>
      </c>
      <c r="B26" s="6" t="inlineStr">
        <is>
          <t>Place profile</t>
        </is>
      </c>
      <c r="C26" s="5" t="n">
        <v>25.15</v>
      </c>
      <c r="D26" s="7" t="n">
        <v>1.119999999999997</v>
      </c>
      <c r="E26" s="5" t="inlineStr">
        <is>
          <t>1.14.01</t>
        </is>
      </c>
      <c r="F26" s="7" t="n">
        <v>1.870000000000005</v>
      </c>
      <c r="G26" s="5" t="n"/>
      <c r="H26" s="7" t="n"/>
      <c r="I26" s="5">
        <f>IF(COUNT(C26:E26)=0,"",AVERAGE(C26:E26))</f>
        <v/>
      </c>
    </row>
    <row r="27">
      <c r="A27" s="5" t="n">
        <v>26</v>
      </c>
      <c r="B27" s="6" t="inlineStr">
        <is>
          <t>Take gap measurement on profile 1</t>
        </is>
      </c>
      <c r="C27" s="5" t="n">
        <v>28.15</v>
      </c>
      <c r="D27" s="7" t="n">
        <v>3</v>
      </c>
      <c r="E27" s="5" t="inlineStr">
        <is>
          <t>1.16.17</t>
        </is>
      </c>
      <c r="F27" s="7" t="n">
        <v>2.159999999999997</v>
      </c>
      <c r="G27" s="5" t="n"/>
      <c r="H27" s="7" t="n"/>
      <c r="I27" s="5">
        <f>IF(COUNT(C27:E27)=0,"",AVERAGE(C27:E27))</f>
        <v/>
      </c>
    </row>
    <row r="28">
      <c r="A28" s="5" t="n">
        <v>27</v>
      </c>
      <c r="B28" s="6" t="inlineStr">
        <is>
          <t>Take gap measurement on profile 2</t>
        </is>
      </c>
      <c r="C28" s="5" t="n">
        <v>29.29</v>
      </c>
      <c r="D28" s="7" t="n">
        <v>1.140000000000001</v>
      </c>
      <c r="E28" s="5" t="inlineStr">
        <is>
          <t>1.18.47</t>
        </is>
      </c>
      <c r="F28" s="7" t="n">
        <v>2.299999999999997</v>
      </c>
      <c r="G28" s="5" t="n"/>
      <c r="H28" s="7" t="n"/>
      <c r="I28" s="5">
        <f>IF(COUNT(C28:E28)=0,"",AVERAGE(C28:E28))</f>
        <v/>
      </c>
    </row>
    <row r="29">
      <c r="A29" s="5" t="n"/>
      <c r="B29" s="6" t="inlineStr">
        <is>
          <t xml:space="preserve">Secondary checks and hand adjusting </t>
        </is>
      </c>
      <c r="C29" s="5" t="n">
        <v>41.21</v>
      </c>
      <c r="D29" s="7" t="n">
        <v>11.92</v>
      </c>
      <c r="E29" s="5" t="n">
        <v>0</v>
      </c>
      <c r="F29" s="7" t="n"/>
      <c r="G29" s="5" t="n"/>
      <c r="H29" s="7" t="n"/>
      <c r="I29" s="5">
        <f>IF(COUNT(C29:E29)=0,"",AVERAGE(C29:E29))</f>
        <v/>
      </c>
    </row>
    <row r="30">
      <c r="A30" s="5" t="n">
        <v>28</v>
      </c>
      <c r="B30" s="6" t="inlineStr">
        <is>
          <t>Pick up two profiles</t>
        </is>
      </c>
      <c r="D30" s="7" t="n"/>
      <c r="E30" s="5" t="inlineStr">
        <is>
          <t>1.23.12</t>
        </is>
      </c>
      <c r="F30" s="7" t="n">
        <v>83.12</v>
      </c>
      <c r="G30" s="5" t="n"/>
      <c r="H30" s="7" t="n"/>
      <c r="I30" s="5">
        <f>IF(COUNT(C30:E30)=0,"",AVERAGE(C30:E30))</f>
        <v/>
      </c>
    </row>
    <row r="31">
      <c r="A31" s="5" t="n">
        <v>29</v>
      </c>
      <c r="B31" s="6" t="inlineStr">
        <is>
          <t>Turn profile to gap side down</t>
        </is>
      </c>
      <c r="C31" s="5" t="n">
        <v>42.07</v>
      </c>
      <c r="D31" s="7" t="n">
        <v>0.8599999999999994</v>
      </c>
      <c r="E31" s="5" t="n"/>
      <c r="F31" s="7" t="n"/>
      <c r="G31" s="5" t="n"/>
      <c r="H31" s="7" t="n"/>
      <c r="I31" s="5">
        <f>IF(COUNT(C31:E31)=0,"",AVERAGE(C31:E31))</f>
        <v/>
      </c>
    </row>
    <row r="32">
      <c r="A32" s="5" t="n">
        <v>30</v>
      </c>
      <c r="B32" s="6" t="inlineStr">
        <is>
          <t>Walk 4 steps to rack</t>
        </is>
      </c>
      <c r="C32" s="5" t="n">
        <v>43.22</v>
      </c>
      <c r="D32" s="7" t="n">
        <v>1.149999999999999</v>
      </c>
      <c r="E32" s="5" t="n"/>
      <c r="F32" s="7" t="n"/>
      <c r="G32" s="5" t="n"/>
      <c r="H32" s="7" t="n"/>
      <c r="I32" s="5">
        <f>IF(COUNT(C32:E32)=0,"",AVERAGE(C32:E32))</f>
        <v/>
      </c>
    </row>
    <row r="33">
      <c r="A33" s="5" t="n">
        <v>31</v>
      </c>
      <c r="B33" s="6" t="inlineStr">
        <is>
          <t>Place profile down</t>
        </is>
      </c>
      <c r="C33" s="5" t="n"/>
      <c r="D33" s="7" t="n"/>
      <c r="E33" s="5" t="inlineStr">
        <is>
          <t>1.27.20</t>
        </is>
      </c>
      <c r="F33" s="7" t="n">
        <v>4.079999999999998</v>
      </c>
      <c r="G33" s="5" t="n"/>
      <c r="H33" s="7" t="n"/>
      <c r="I33" s="5">
        <f>IF(COUNT(C33:E33)=0,"",AVERAGE(C33:E33))</f>
        <v/>
      </c>
    </row>
    <row r="34">
      <c r="A34" s="5" t="n">
        <v>32</v>
      </c>
      <c r="B34" s="6" t="inlineStr">
        <is>
          <t>Arrange profile</t>
        </is>
      </c>
      <c r="C34" s="5" t="n">
        <v>45.07</v>
      </c>
      <c r="D34" s="7" t="n">
        <v>1.850000000000001</v>
      </c>
      <c r="E34" s="5" t="inlineStr">
        <is>
          <t>1.28.05</t>
        </is>
      </c>
      <c r="F34" s="7" t="n">
        <v>0.8499999999999943</v>
      </c>
      <c r="G34" s="5" t="n"/>
      <c r="H34" s="7" t="n"/>
      <c r="I34" s="5">
        <f>IF(COUNT(C34:E34)=0,"",AVERAGE(C34:E34))</f>
        <v/>
      </c>
    </row>
    <row r="35">
      <c r="A35" s="5" t="n">
        <v>33</v>
      </c>
      <c r="B35" s="6" t="inlineStr">
        <is>
          <t>Take two steps to rework bin</t>
        </is>
      </c>
      <c r="C35" s="5" t="n">
        <v>50.07</v>
      </c>
      <c r="D35" s="7" t="n">
        <v>5</v>
      </c>
      <c r="E35" s="5" t="inlineStr">
        <is>
          <t>1.30.2</t>
        </is>
      </c>
      <c r="F35" s="7" t="n">
        <v>1.969999999999999</v>
      </c>
      <c r="G35" s="5" t="n"/>
      <c r="H35" s="7" t="n"/>
      <c r="I35" s="5">
        <f>IF(COUNT(C35:E35)=0,"",AVERAGE(C35:E35))</f>
        <v/>
      </c>
    </row>
    <row r="36">
      <c r="D36" s="7" t="n"/>
      <c r="F36" s="7" t="n"/>
      <c r="H36" s="7" t="n"/>
    </row>
    <row r="37">
      <c r="A37" s="8" t="n"/>
      <c r="B37" s="9" t="inlineStr">
        <is>
          <t>TOTAL (Avg sec)</t>
        </is>
      </c>
      <c r="C37" s="8" t="n"/>
      <c r="D37" s="7" t="n"/>
      <c r="E37" s="8" t="n"/>
      <c r="F37" s="7" t="n"/>
      <c r="G37" s="8" t="n"/>
      <c r="H37" s="7" t="n"/>
      <c r="I37" s="10">
        <f>SUM(F5:F35)</f>
        <v/>
      </c>
    </row>
    <row r="38">
      <c r="A38" t="inlineStr">
        <is>
          <t>After Row Spacers</t>
        </is>
      </c>
      <c r="D38" s="7" t="n"/>
      <c r="F38" s="7" t="n"/>
      <c r="H38" s="7" t="n"/>
    </row>
    <row r="39">
      <c r="B39" t="inlineStr">
        <is>
          <t>Removing Spacers</t>
        </is>
      </c>
      <c r="D39" s="7" t="n"/>
      <c r="E39" t="inlineStr">
        <is>
          <t>1.40.40</t>
        </is>
      </c>
      <c r="F39" s="7" t="n">
        <v>10.38000000000001</v>
      </c>
      <c r="H39" s="7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20" customWidth="1" min="4" max="4"/>
  </cols>
  <sheetData>
    <row r="1" ht="18" customHeight="1">
      <c r="A1" s="11" t="inlineStr">
        <is>
          <t>Time Study Summary</t>
        </is>
      </c>
    </row>
    <row r="2"/>
    <row r="3">
      <c r="A3" s="12" t="inlineStr">
        <is>
          <t>Study</t>
        </is>
      </c>
      <c r="B3" s="12" t="inlineStr">
        <is>
          <t>Total Avg Time (sec)</t>
        </is>
      </c>
      <c r="C3" s="12" t="inlineStr">
        <is>
          <t>Profiles per cycle</t>
        </is>
      </c>
      <c r="D3" s="12" t="inlineStr">
        <is>
          <t>Sec per profile (Avg)</t>
        </is>
      </c>
    </row>
    <row r="4">
      <c r="A4" s="13" t="inlineStr">
        <is>
          <t>TWO PROFILE PICK UP</t>
        </is>
      </c>
      <c r="B4" s="13">
        <f>SUM('TWO PROFILE PICK UP'!#REF!)</f>
        <v/>
      </c>
      <c r="C4" s="13" t="n">
        <v>2</v>
      </c>
      <c r="D4" s="13">
        <f>IF(C4="","",B4/C4)</f>
        <v/>
      </c>
    </row>
    <row r="5">
      <c r="A5" s="13" t="inlineStr">
        <is>
          <t>THREE PROFILE PICK UP</t>
        </is>
      </c>
      <c r="B5" s="13">
        <f>SUM('THREE PROFILE PICK UP'!F5:F1006)</f>
        <v/>
      </c>
      <c r="C5" s="13" t="n">
        <v>3</v>
      </c>
      <c r="D5" s="13">
        <f>IF(C5="","",B5/C5)</f>
        <v/>
      </c>
    </row>
    <row r="6">
      <c r="A6" s="13" t="inlineStr">
        <is>
          <t>FOUR PROFILE PICK UP</t>
        </is>
      </c>
      <c r="B6" s="13">
        <f>SUM('FOUR PROFILE PICK UP'!F5:F1000)</f>
        <v/>
      </c>
      <c r="C6" s="13" t="n">
        <v>4</v>
      </c>
      <c r="D6" s="13">
        <f>IF(C6="","",B6/C6)</f>
        <v/>
      </c>
    </row>
    <row r="7">
      <c r="A7" s="13" t="inlineStr">
        <is>
          <t>TWIST CHECK</t>
        </is>
      </c>
      <c r="B7" s="13">
        <f>SUM('TWIST CHECK'!F5:F1002)</f>
        <v/>
      </c>
      <c r="C7" s="13" t="n"/>
      <c r="D7" s="13">
        <f>IF(C7="","",B7/C7)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</cols>
  <sheetData>
    <row r="1" ht="18" customHeight="1">
      <c r="A1" s="1" t="inlineStr">
        <is>
          <t>Time Study</t>
        </is>
      </c>
    </row>
    <row r="2">
      <c r="A2" s="2" t="inlineStr">
        <is>
          <t>PROCESS ACTION</t>
        </is>
      </c>
    </row>
    <row r="3">
      <c r="A3" s="2" t="inlineStr">
        <is>
          <t>Rework Angel &amp; Gaganpreet  — TWO PROFILE PICK UP</t>
        </is>
      </c>
    </row>
    <row r="4">
      <c r="A4" s="3" t="inlineStr">
        <is>
          <t>Step #</t>
        </is>
      </c>
      <c r="B4" s="3" t="inlineStr">
        <is>
          <t>Action</t>
        </is>
      </c>
      <c r="C4" s="3" t="inlineStr">
        <is>
          <t>Trial 1 (sec)</t>
        </is>
      </c>
      <c r="D4" s="4" t="inlineStr">
        <is>
          <t>Duration (C)</t>
        </is>
      </c>
      <c r="E4" s="3" t="inlineStr">
        <is>
          <t>Trial 2 (sec)</t>
        </is>
      </c>
      <c r="F4" s="4" t="inlineStr">
        <is>
          <t>Duration (D)</t>
        </is>
      </c>
      <c r="G4" s="3" t="inlineStr">
        <is>
          <t>Trial 3 (sec)</t>
        </is>
      </c>
      <c r="H4" s="4" t="inlineStr">
        <is>
          <t>Duration (E)</t>
        </is>
      </c>
    </row>
    <row r="5">
      <c r="A5" s="5" t="n">
        <v>1</v>
      </c>
      <c r="B5" s="6" t="inlineStr">
        <is>
          <t>Pick up two profiles</t>
        </is>
      </c>
      <c r="C5" s="5" t="inlineStr">
        <is>
          <t>1 sec</t>
        </is>
      </c>
      <c r="D5" s="7" t="n"/>
      <c r="E5" s="5" t="n">
        <v>50.07</v>
      </c>
      <c r="F5" s="7" t="n"/>
      <c r="G5" s="5" t="inlineStr">
        <is>
          <t>1.42.01</t>
        </is>
      </c>
      <c r="H5" s="7" t="n"/>
    </row>
    <row r="6">
      <c r="A6" s="5" t="n">
        <v>2</v>
      </c>
      <c r="B6" s="6" t="inlineStr">
        <is>
          <t>Walk 4 steps to the press</t>
        </is>
      </c>
      <c r="C6" s="5" t="inlineStr">
        <is>
          <t>07:05 -  02:28</t>
        </is>
      </c>
      <c r="D6" s="7" t="n">
        <v>3.77</v>
      </c>
      <c r="E6" s="5" t="n">
        <v>55.3</v>
      </c>
      <c r="F6" s="7" t="n">
        <v>5.229999999999997</v>
      </c>
      <c r="G6" s="5" t="n"/>
      <c r="H6" s="7" t="n"/>
    </row>
    <row r="7">
      <c r="A7" s="5" t="n">
        <v>3</v>
      </c>
      <c r="B7" s="6" t="inlineStr">
        <is>
          <t>Turn profiles upside down</t>
        </is>
      </c>
      <c r="C7" s="14" t="n">
        <v>0.3145833333333333</v>
      </c>
      <c r="D7" s="7" t="n">
        <v>2.56</v>
      </c>
      <c r="E7" s="5" t="n">
        <v>56</v>
      </c>
      <c r="F7" s="7" t="n">
        <v>0.7000000000000028</v>
      </c>
      <c r="G7" s="5" t="n"/>
      <c r="H7" s="7" t="n"/>
    </row>
    <row r="8">
      <c r="A8" s="5" t="n">
        <v>4</v>
      </c>
      <c r="B8" s="6" t="inlineStr">
        <is>
          <t>Pick up first profile</t>
        </is>
      </c>
      <c r="C8" s="14" t="n">
        <v>0.3388888888888889</v>
      </c>
      <c r="D8" s="7" t="n">
        <v>0.75</v>
      </c>
      <c r="E8" s="5" t="n"/>
      <c r="F8" s="7" t="n"/>
      <c r="G8" s="5" t="n"/>
      <c r="H8" s="7" t="n"/>
    </row>
    <row r="9">
      <c r="A9" s="5" t="n">
        <v>5</v>
      </c>
      <c r="B9" s="6" t="inlineStr">
        <is>
          <t>Lift press bar and Turn first profile sideways and place profile</t>
        </is>
      </c>
      <c r="C9" s="14" t="n">
        <v>0.4284722222222222</v>
      </c>
      <c r="D9" s="7" t="n">
        <v>2.09</v>
      </c>
      <c r="E9" s="5" t="n">
        <v>59.09</v>
      </c>
      <c r="F9" s="7" t="n">
        <v>3.090000000000003</v>
      </c>
      <c r="G9" s="5" t="n"/>
      <c r="H9" s="7" t="n"/>
    </row>
    <row r="10">
      <c r="A10" s="5" t="n">
        <v>8</v>
      </c>
      <c r="B10" s="6" t="inlineStr">
        <is>
          <t>Take two steps away from press towards panel</t>
        </is>
      </c>
      <c r="C10" s="14" t="n">
        <v>0.5444444444444444</v>
      </c>
      <c r="D10" s="7" t="n">
        <v>2.869999999999999</v>
      </c>
      <c r="E10" s="5" t="inlineStr">
        <is>
          <t>1.0.23</t>
        </is>
      </c>
      <c r="F10" s="7" t="n">
        <v>1.139999999999993</v>
      </c>
      <c r="G10" s="5" t="n"/>
      <c r="H10" s="7" t="n"/>
    </row>
    <row r="11">
      <c r="A11" s="5" t="n">
        <v>9</v>
      </c>
      <c r="B11" s="6" t="inlineStr">
        <is>
          <t>Two hand to start the press</t>
        </is>
      </c>
      <c r="C11" s="14" t="n">
        <v>0.5875</v>
      </c>
      <c r="D11" s="7" t="n">
        <v>1.020000000000001</v>
      </c>
      <c r="E11" s="5" t="n"/>
      <c r="F11" s="7" t="n"/>
      <c r="G11" s="5" t="n"/>
      <c r="H11" s="7" t="n"/>
    </row>
    <row r="12">
      <c r="A12" s="5" t="n">
        <v>10</v>
      </c>
      <c r="B12" s="6" t="inlineStr">
        <is>
          <t>Press wait</t>
        </is>
      </c>
      <c r="C12" s="5" t="n"/>
      <c r="D12" s="7" t="n"/>
      <c r="E12" s="5" t="inlineStr">
        <is>
          <t>1.2.19</t>
        </is>
      </c>
      <c r="F12" s="7" t="n">
        <v>1.960000000000001</v>
      </c>
      <c r="G12" s="5" t="n"/>
      <c r="H12" s="7" t="n"/>
    </row>
    <row r="13">
      <c r="A13" s="5" t="n">
        <v>11</v>
      </c>
      <c r="B13" s="6" t="inlineStr">
        <is>
          <t>Take two steps toward press</t>
        </is>
      </c>
      <c r="C13" s="5" t="inlineStr">
        <is>
          <t xml:space="preserve"> 15:14</t>
        </is>
      </c>
      <c r="D13" s="7" t="n">
        <v>1.08</v>
      </c>
      <c r="E13" s="5" t="inlineStr">
        <is>
          <t xml:space="preserve"> 1.4.6 </t>
        </is>
      </c>
      <c r="F13" s="7" t="n">
        <v>1.870000000000005</v>
      </c>
      <c r="G13" s="5" t="n"/>
      <c r="H13" s="7" t="n"/>
    </row>
    <row r="14">
      <c r="A14" s="5" t="n">
        <v>12</v>
      </c>
      <c r="B14" s="6" t="inlineStr">
        <is>
          <t>Take off clamp and set aside</t>
        </is>
      </c>
      <c r="C14" s="5" t="inlineStr">
        <is>
          <t xml:space="preserve"> </t>
        </is>
      </c>
      <c r="D14" s="7" t="n"/>
      <c r="E14" s="5" t="n"/>
      <c r="F14" s="7" t="n"/>
      <c r="G14" s="5" t="n"/>
      <c r="H14" s="7" t="n"/>
    </row>
    <row r="15">
      <c r="A15" s="5" t="n">
        <v>13</v>
      </c>
      <c r="B15" s="6" t="inlineStr">
        <is>
          <t>Turn profile to gap side up</t>
        </is>
      </c>
      <c r="C15" s="5" t="n"/>
      <c r="D15" s="7" t="n"/>
      <c r="E15" s="5" t="n"/>
      <c r="F15" s="7" t="n"/>
      <c r="G15" s="5" t="n"/>
      <c r="H15" s="7" t="n"/>
    </row>
    <row r="16">
      <c r="A16" s="5" t="n">
        <v>14</v>
      </c>
      <c r="B16" s="6" t="inlineStr">
        <is>
          <t>Place profile</t>
        </is>
      </c>
      <c r="C16" s="14" t="n">
        <v>0.6854166666666667</v>
      </c>
      <c r="D16" s="7" t="n">
        <v>1.129999999999999</v>
      </c>
      <c r="E16" s="5" t="inlineStr">
        <is>
          <t>1.05.16</t>
        </is>
      </c>
      <c r="F16" s="7" t="n">
        <v>1.099999999999994</v>
      </c>
      <c r="G16" s="5" t="n"/>
      <c r="H16" s="7" t="n"/>
    </row>
    <row r="17">
      <c r="A17" s="5" t="n">
        <v>15</v>
      </c>
      <c r="B17" s="6" t="inlineStr">
        <is>
          <t>Pick up second profile</t>
        </is>
      </c>
      <c r="C17" s="14" t="n">
        <v>0.7194444444444444</v>
      </c>
      <c r="D17" s="7" t="n">
        <v>0.8900000000000006</v>
      </c>
      <c r="E17" s="5" t="n"/>
      <c r="F17" s="7" t="n"/>
      <c r="G17" s="5" t="n"/>
      <c r="H17" s="7" t="n"/>
    </row>
    <row r="18">
      <c r="A18" s="5" t="n">
        <v>16</v>
      </c>
      <c r="B18" s="6" t="inlineStr">
        <is>
          <t>Turn sideways</t>
        </is>
      </c>
      <c r="C18" s="5" t="n"/>
      <c r="D18" s="7" t="n"/>
      <c r="E18" s="5" t="n"/>
      <c r="F18" s="7" t="n"/>
      <c r="G18" s="5" t="n"/>
      <c r="H18" s="7" t="n"/>
    </row>
    <row r="19">
      <c r="A19" s="5" t="n">
        <v>17</v>
      </c>
      <c r="B19" s="6" t="inlineStr">
        <is>
          <t>Place profile on clamp</t>
        </is>
      </c>
      <c r="C19" s="5" t="n"/>
      <c r="D19" s="7" t="n"/>
      <c r="E19" s="5" t="n"/>
      <c r="F19" s="7" t="n"/>
      <c r="G19" s="5" t="n"/>
      <c r="H19" s="7" t="n"/>
    </row>
    <row r="20">
      <c r="A20" s="5" t="n">
        <v>18</v>
      </c>
      <c r="B20" s="6" t="inlineStr">
        <is>
          <t>Place clamp bar on profile</t>
        </is>
      </c>
      <c r="C20" s="14" t="n">
        <v>0.8090277777777778</v>
      </c>
      <c r="D20" s="7" t="n">
        <v>2.09</v>
      </c>
      <c r="E20" s="5" t="inlineStr">
        <is>
          <t>1.7.25</t>
        </is>
      </c>
      <c r="F20" s="7" t="n">
        <v>2.090000000000003</v>
      </c>
      <c r="G20" s="5" t="n"/>
      <c r="H20" s="7" t="n"/>
    </row>
    <row r="21">
      <c r="A21" s="5" t="n">
        <v>19</v>
      </c>
      <c r="B21" s="6" t="inlineStr">
        <is>
          <t>Take two steps away from press towards panel A &amp;G</t>
        </is>
      </c>
      <c r="C21" s="14" t="inlineStr">
        <is>
          <t>20.21 G21: 03</t>
        </is>
      </c>
      <c r="D21" s="7" t="n"/>
      <c r="E21" s="5" t="inlineStr">
        <is>
          <t>1.08.28</t>
        </is>
      </c>
      <c r="F21" s="7" t="n">
        <v>1.030000000000001</v>
      </c>
      <c r="G21" s="5" t="n"/>
      <c r="H21" s="7" t="n"/>
    </row>
    <row r="22">
      <c r="A22" s="5" t="n">
        <v>20</v>
      </c>
      <c r="B22" s="6" t="inlineStr">
        <is>
          <t>Two hand to start the press</t>
        </is>
      </c>
      <c r="C22" s="5" t="n"/>
      <c r="D22" s="7" t="n"/>
      <c r="E22" s="5" t="n"/>
      <c r="F22" s="7" t="n"/>
      <c r="G22" s="5" t="n"/>
      <c r="H22" s="7" t="n"/>
    </row>
    <row r="23">
      <c r="A23" s="5" t="n">
        <v>21</v>
      </c>
      <c r="B23" s="6" t="inlineStr">
        <is>
          <t>Press wait</t>
        </is>
      </c>
      <c r="C23" s="5" t="n">
        <v>22.19</v>
      </c>
      <c r="D23" s="7" t="n">
        <v>2.940000000000001</v>
      </c>
      <c r="E23" s="5" t="n"/>
      <c r="F23" s="7" t="n"/>
      <c r="G23" s="5" t="n"/>
      <c r="H23" s="7" t="n"/>
    </row>
    <row r="24">
      <c r="A24" s="5" t="n">
        <v>22</v>
      </c>
      <c r="B24" s="6" t="inlineStr">
        <is>
          <t>Take two steps toward press</t>
        </is>
      </c>
      <c r="C24" s="5" t="n">
        <v>24.03</v>
      </c>
      <c r="D24" s="7" t="n">
        <v>1.84</v>
      </c>
      <c r="E24" s="5" t="inlineStr">
        <is>
          <t>1.11.9</t>
        </is>
      </c>
      <c r="F24" s="7" t="n">
        <v>2.810000000000002</v>
      </c>
      <c r="G24" s="5" t="n"/>
      <c r="H24" s="7" t="n"/>
    </row>
    <row r="25">
      <c r="A25" s="5" t="n">
        <v>24</v>
      </c>
      <c r="B25" s="6" t="inlineStr">
        <is>
          <t>Turn profile to gap side up</t>
        </is>
      </c>
      <c r="C25" s="5" t="n"/>
      <c r="D25" s="7" t="n"/>
      <c r="E25" s="5" t="inlineStr">
        <is>
          <t>1.12.14</t>
        </is>
      </c>
      <c r="F25" s="7" t="n">
        <v>1.049999999999997</v>
      </c>
      <c r="G25" s="5" t="n"/>
      <c r="H25" s="7" t="n"/>
    </row>
    <row r="26">
      <c r="A26" s="5" t="n">
        <v>25</v>
      </c>
      <c r="B26" s="6" t="inlineStr">
        <is>
          <t>Place profile</t>
        </is>
      </c>
      <c r="C26" s="5" t="n">
        <v>25.15</v>
      </c>
      <c r="D26" s="7" t="n">
        <v>1.119999999999997</v>
      </c>
      <c r="E26" s="5" t="inlineStr">
        <is>
          <t>1.14.01</t>
        </is>
      </c>
      <c r="F26" s="7" t="n">
        <v>1.870000000000005</v>
      </c>
      <c r="G26" s="5" t="n"/>
      <c r="H26" s="7" t="n"/>
    </row>
    <row r="27">
      <c r="A27" s="5" t="n">
        <v>26</v>
      </c>
      <c r="B27" s="6" t="inlineStr">
        <is>
          <t>Take gap measurement on profile 1</t>
        </is>
      </c>
      <c r="C27" s="5" t="n">
        <v>28.15</v>
      </c>
      <c r="D27" s="7" t="n">
        <v>3</v>
      </c>
      <c r="E27" s="5" t="inlineStr">
        <is>
          <t>1.16.17</t>
        </is>
      </c>
      <c r="F27" s="7" t="n">
        <v>2.159999999999997</v>
      </c>
      <c r="G27" s="5" t="n"/>
      <c r="H27" s="7" t="n"/>
    </row>
    <row r="28">
      <c r="A28" s="5" t="n">
        <v>27</v>
      </c>
      <c r="B28" s="6" t="inlineStr">
        <is>
          <t>Take gap measurement on profile 2</t>
        </is>
      </c>
      <c r="C28" s="5" t="n">
        <v>29.29</v>
      </c>
      <c r="D28" s="7" t="n">
        <v>1.140000000000001</v>
      </c>
      <c r="E28" s="5" t="inlineStr">
        <is>
          <t>1.18.47</t>
        </is>
      </c>
      <c r="F28" s="7" t="n">
        <v>2.299999999999997</v>
      </c>
      <c r="G28" s="5" t="n"/>
      <c r="H28" s="7" t="n"/>
    </row>
    <row r="29">
      <c r="A29" s="5" t="n"/>
      <c r="B29" s="6" t="inlineStr">
        <is>
          <t xml:space="preserve">Secondary checks and hand adjusting </t>
        </is>
      </c>
      <c r="C29" s="5" t="n">
        <v>41.21</v>
      </c>
      <c r="D29" s="7" t="n">
        <v>11.92</v>
      </c>
      <c r="E29" s="5" t="n">
        <v>0</v>
      </c>
      <c r="F29" s="7" t="n"/>
      <c r="G29" s="5" t="n"/>
      <c r="H29" s="7" t="n"/>
    </row>
    <row r="30">
      <c r="A30" s="5" t="n">
        <v>28</v>
      </c>
      <c r="B30" s="6" t="inlineStr">
        <is>
          <t>Pick up two profiles</t>
        </is>
      </c>
      <c r="D30" s="7" t="n"/>
      <c r="E30" s="5" t="inlineStr">
        <is>
          <t>1.23.12</t>
        </is>
      </c>
      <c r="F30" s="7" t="n">
        <v>83.12</v>
      </c>
      <c r="G30" s="5" t="n"/>
      <c r="H30" s="7" t="n"/>
    </row>
    <row r="31">
      <c r="A31" s="5" t="n">
        <v>29</v>
      </c>
      <c r="B31" s="6" t="inlineStr">
        <is>
          <t>Turn profile to gap side down</t>
        </is>
      </c>
      <c r="C31" s="5" t="n">
        <v>42.07</v>
      </c>
      <c r="D31" s="7" t="n">
        <v>0.8599999999999994</v>
      </c>
      <c r="E31" s="5" t="n"/>
      <c r="F31" s="7" t="n"/>
      <c r="G31" s="5" t="n"/>
      <c r="H31" s="7" t="n"/>
    </row>
    <row r="32">
      <c r="A32" s="5" t="n">
        <v>30</v>
      </c>
      <c r="B32" s="6" t="inlineStr">
        <is>
          <t>Walk 4 steps to rack</t>
        </is>
      </c>
      <c r="C32" s="5" t="n">
        <v>43.22</v>
      </c>
      <c r="D32" s="7" t="n">
        <v>1.149999999999999</v>
      </c>
      <c r="E32" s="5" t="n"/>
      <c r="F32" s="7" t="n"/>
      <c r="G32" s="5" t="n"/>
      <c r="H32" s="7" t="n"/>
    </row>
    <row r="33">
      <c r="A33" s="5" t="n">
        <v>31</v>
      </c>
      <c r="B33" s="6" t="inlineStr">
        <is>
          <t>Place profile down</t>
        </is>
      </c>
      <c r="C33" s="5" t="n"/>
      <c r="D33" s="7" t="n"/>
      <c r="E33" s="5" t="inlineStr">
        <is>
          <t>1.27.20</t>
        </is>
      </c>
      <c r="F33" s="7" t="n">
        <v>4.079999999999998</v>
      </c>
      <c r="G33" s="5" t="n"/>
      <c r="H33" s="7" t="n"/>
    </row>
    <row r="34">
      <c r="A34" s="5" t="n">
        <v>32</v>
      </c>
      <c r="B34" s="6" t="inlineStr">
        <is>
          <t>Arrange profile</t>
        </is>
      </c>
      <c r="C34" s="5" t="n">
        <v>45.07</v>
      </c>
      <c r="D34" s="7" t="n">
        <v>1.850000000000001</v>
      </c>
      <c r="E34" s="5" t="inlineStr">
        <is>
          <t>1.28.05</t>
        </is>
      </c>
      <c r="F34" s="7" t="n">
        <v>0.8499999999999943</v>
      </c>
      <c r="G34" s="5" t="n"/>
      <c r="H34" s="7" t="n"/>
    </row>
    <row r="35">
      <c r="A35" s="5" t="n">
        <v>33</v>
      </c>
      <c r="B35" s="6" t="inlineStr">
        <is>
          <t>Take two steps to rework bin</t>
        </is>
      </c>
      <c r="C35" s="5" t="n">
        <v>50.07</v>
      </c>
      <c r="D35" s="7" t="n">
        <v>5</v>
      </c>
      <c r="E35" s="5" t="inlineStr">
        <is>
          <t>1.30.2</t>
        </is>
      </c>
      <c r="F35" s="7" t="n">
        <v>1.969999999999999</v>
      </c>
      <c r="G35" s="5" t="n"/>
      <c r="H35" s="7" t="n"/>
    </row>
    <row r="36">
      <c r="D36" s="7" t="n"/>
      <c r="F36" s="7" t="n"/>
      <c r="H36" s="7" t="n"/>
    </row>
    <row r="37">
      <c r="A37" s="8" t="n"/>
      <c r="B37" s="9" t="inlineStr">
        <is>
          <t>TOTAL (Avg sec)</t>
        </is>
      </c>
      <c r="C37" s="8" t="n"/>
      <c r="D37" s="7" t="n"/>
      <c r="E37" s="8" t="n"/>
      <c r="F37" s="7" t="n"/>
      <c r="G37" s="8" t="n"/>
      <c r="H37" s="7" t="n"/>
    </row>
    <row r="38">
      <c r="A38" t="inlineStr">
        <is>
          <t>After Row Spacers</t>
        </is>
      </c>
      <c r="D38" s="7" t="n"/>
      <c r="F38" s="7" t="n"/>
      <c r="H38" s="7" t="n"/>
    </row>
    <row r="39">
      <c r="B39" t="inlineStr">
        <is>
          <t>Removing Spacers</t>
        </is>
      </c>
      <c r="D39" s="7" t="n"/>
      <c r="E39" t="inlineStr">
        <is>
          <t>1.40.40</t>
        </is>
      </c>
      <c r="F39" s="7" t="n">
        <v>10.38000000000001</v>
      </c>
      <c r="H39" s="7" t="n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2" customWidth="1" min="6" max="6"/>
  </cols>
  <sheetData>
    <row r="1" ht="18" customHeight="1">
      <c r="A1" s="15" t="inlineStr">
        <is>
          <t>Time Study</t>
        </is>
      </c>
    </row>
    <row r="2">
      <c r="A2" s="2" t="inlineStr">
        <is>
          <t>PROCESS ACTION</t>
        </is>
      </c>
    </row>
    <row r="3">
      <c r="A3" s="2" t="inlineStr">
        <is>
          <t>Rework Angel &amp; Gaganpreet — THREE PROFILE PICK UP</t>
        </is>
      </c>
    </row>
    <row r="4">
      <c r="A4" s="3" t="inlineStr">
        <is>
          <t>Step #</t>
        </is>
      </c>
      <c r="B4" s="3" t="inlineStr">
        <is>
          <t>Action</t>
        </is>
      </c>
      <c r="C4" s="3" t="inlineStr">
        <is>
          <t>Trial 1 (sec)</t>
        </is>
      </c>
      <c r="D4" s="4" t="inlineStr">
        <is>
          <t>Duration (C)</t>
        </is>
      </c>
      <c r="E4" s="3" t="inlineStr">
        <is>
          <t>Trial 2 (sec)</t>
        </is>
      </c>
      <c r="F4" s="4" t="inlineStr">
        <is>
          <t>Duration (D)</t>
        </is>
      </c>
      <c r="G4" s="3" t="inlineStr">
        <is>
          <t>Trial 3 (sec)</t>
        </is>
      </c>
      <c r="H4" s="4" t="inlineStr">
        <is>
          <t>Duration (E)</t>
        </is>
      </c>
      <c r="I4" s="3" t="inlineStr">
        <is>
          <t>Avg (sec)</t>
        </is>
      </c>
    </row>
    <row r="5">
      <c r="A5" s="5" t="n">
        <v>1</v>
      </c>
      <c r="B5" s="6" t="inlineStr">
        <is>
          <t>Pick up three profiles</t>
        </is>
      </c>
      <c r="C5" s="5" t="inlineStr">
        <is>
          <t>1.41.25</t>
        </is>
      </c>
      <c r="D5" s="7" t="n"/>
      <c r="E5" s="5" t="inlineStr">
        <is>
          <t>6.1.28</t>
        </is>
      </c>
      <c r="F5" s="7" t="n"/>
      <c r="G5" s="5" t="n"/>
      <c r="H5" s="7" t="n"/>
      <c r="I5" s="5">
        <f>IF(COUNT(C5:E5)=0,"",AVERAGE(C5:E5))</f>
        <v/>
      </c>
    </row>
    <row r="6">
      <c r="A6" s="5" t="n">
        <v>2</v>
      </c>
      <c r="B6" s="6" t="inlineStr">
        <is>
          <t>Walk 4 steps to the press</t>
        </is>
      </c>
      <c r="C6" s="5" t="n"/>
      <c r="D6" s="7" t="n"/>
      <c r="E6" s="5" t="n"/>
      <c r="F6" s="7" t="n"/>
      <c r="G6" s="5" t="n"/>
      <c r="H6" s="7" t="n"/>
      <c r="I6" s="5">
        <f>IF(COUNT(C6:E6)=0,"",AVERAGE(C6:E6))</f>
        <v/>
      </c>
    </row>
    <row r="7">
      <c r="A7" s="5" t="n">
        <v>3</v>
      </c>
      <c r="B7" s="6" t="inlineStr">
        <is>
          <t>Turn profiles upside down</t>
        </is>
      </c>
      <c r="C7" s="5" t="n"/>
      <c r="D7" s="7" t="n"/>
      <c r="E7" s="5" t="n"/>
      <c r="F7" s="7" t="n"/>
      <c r="G7" s="5" t="n"/>
      <c r="H7" s="7" t="n"/>
      <c r="I7" s="5">
        <f>IF(COUNT(C7:E7)=0,"",AVERAGE(C7:E7))</f>
        <v/>
      </c>
    </row>
    <row r="8">
      <c r="A8" s="5" t="n">
        <v>4</v>
      </c>
      <c r="B8" s="6" t="inlineStr">
        <is>
          <t>Pick up first profile</t>
        </is>
      </c>
      <c r="C8" s="5" t="n"/>
      <c r="D8" s="7" t="n"/>
      <c r="E8" s="5" t="n"/>
      <c r="F8" s="7" t="n"/>
      <c r="G8" s="5" t="n"/>
      <c r="H8" s="7" t="n"/>
      <c r="I8" s="5">
        <f>IF(COUNT(C8:E8)=0,"",AVERAGE(C8:E8))</f>
        <v/>
      </c>
    </row>
    <row r="9">
      <c r="A9" s="5" t="n">
        <v>5</v>
      </c>
      <c r="B9" s="6" t="inlineStr">
        <is>
          <t>Turn first profile sideways</t>
        </is>
      </c>
      <c r="C9" s="5" t="n"/>
      <c r="D9" s="7" t="n"/>
      <c r="E9" s="5" t="n"/>
      <c r="F9" s="7" t="n"/>
      <c r="G9" s="5" t="n"/>
      <c r="H9" s="7" t="n"/>
      <c r="I9" s="5">
        <f>IF(COUNT(C9:E9)=0,"",AVERAGE(C9:E9))</f>
        <v/>
      </c>
    </row>
    <row r="10">
      <c r="A10" s="5" t="n">
        <v>6</v>
      </c>
      <c r="B10" s="6" t="inlineStr">
        <is>
          <t>Place profile</t>
        </is>
      </c>
      <c r="C10" s="5" t="n"/>
      <c r="D10" s="7" t="n"/>
      <c r="E10" s="5" t="n"/>
      <c r="F10" s="7" t="n"/>
      <c r="G10" s="5" t="n"/>
      <c r="H10" s="7" t="n"/>
      <c r="I10" s="5">
        <f>IF(COUNT(C10:E10)=0,"",AVERAGE(C10:E10))</f>
        <v/>
      </c>
    </row>
    <row r="11">
      <c r="A11" s="5" t="n">
        <v>7</v>
      </c>
      <c r="B11" s="6" t="inlineStr">
        <is>
          <t>Place clamp bar on profile</t>
        </is>
      </c>
      <c r="C11" s="5" t="n"/>
      <c r="D11" s="7" t="n"/>
      <c r="E11" s="5" t="inlineStr">
        <is>
          <t>6.10.15</t>
        </is>
      </c>
      <c r="F11" s="7" t="n">
        <v>8.870000000000005</v>
      </c>
      <c r="G11" s="5" t="n"/>
      <c r="H11" s="7" t="n"/>
      <c r="I11" s="5">
        <f>IF(COUNT(C11:E11)=0,"",AVERAGE(C11:E11))</f>
        <v/>
      </c>
    </row>
    <row r="12">
      <c r="A12" s="5" t="n">
        <v>8</v>
      </c>
      <c r="B12" s="6" t="inlineStr">
        <is>
          <t>Take two steps away from press towards panel</t>
        </is>
      </c>
      <c r="C12" s="5" t="n"/>
      <c r="D12" s="7" t="n"/>
      <c r="E12" s="5" t="inlineStr">
        <is>
          <t>6.12.11</t>
        </is>
      </c>
      <c r="F12" s="7" t="n">
        <v>1.960000000000036</v>
      </c>
      <c r="G12" s="5" t="n"/>
      <c r="H12" s="7" t="n"/>
      <c r="I12" s="5">
        <f>IF(COUNT(C12:E12)=0,"",AVERAGE(C12:E12))</f>
        <v/>
      </c>
    </row>
    <row r="13">
      <c r="A13" s="5" t="n">
        <v>9</v>
      </c>
      <c r="B13" s="6" t="inlineStr">
        <is>
          <t>Two hand to start the press</t>
        </is>
      </c>
      <c r="C13" s="5" t="inlineStr">
        <is>
          <t>1.50.18</t>
        </is>
      </c>
      <c r="D13" s="7" t="n">
        <v>8.930000000000007</v>
      </c>
      <c r="E13" s="5" t="n"/>
      <c r="F13" s="7" t="n"/>
      <c r="G13" s="5" t="n"/>
      <c r="H13" s="7" t="n"/>
      <c r="I13" s="5">
        <f>IF(COUNT(C13:E13)=0,"",AVERAGE(C13:E13))</f>
        <v/>
      </c>
    </row>
    <row r="14">
      <c r="A14" s="5" t="n">
        <v>10</v>
      </c>
      <c r="B14" s="6" t="inlineStr">
        <is>
          <t>Press wait</t>
        </is>
      </c>
      <c r="C14" s="5" t="inlineStr">
        <is>
          <t>1.52.11</t>
        </is>
      </c>
      <c r="D14" s="7" t="n">
        <v>1.929999999999993</v>
      </c>
      <c r="E14" s="5" t="inlineStr">
        <is>
          <t>6.13.24</t>
        </is>
      </c>
      <c r="F14" s="7" t="n">
        <v>1.129999999999995</v>
      </c>
      <c r="G14" s="5" t="n"/>
      <c r="H14" s="7" t="n"/>
      <c r="I14" s="5">
        <f>IF(COUNT(C14:E14)=0,"",AVERAGE(C14:E14))</f>
        <v/>
      </c>
    </row>
    <row r="15">
      <c r="A15" s="5" t="n">
        <v>11</v>
      </c>
      <c r="B15" s="6" t="inlineStr">
        <is>
          <t>Take two steps toward press</t>
        </is>
      </c>
      <c r="C15" s="5" t="inlineStr">
        <is>
          <t>1.53.25</t>
        </is>
      </c>
      <c r="D15" s="7" t="n">
        <v>1.140000000000001</v>
      </c>
      <c r="E15" s="5" t="inlineStr">
        <is>
          <t>6.15.16</t>
        </is>
      </c>
      <c r="F15" s="7" t="n">
        <v>1.920000000000016</v>
      </c>
      <c r="G15" s="5" t="n"/>
      <c r="H15" s="7" t="n"/>
      <c r="I15" s="5">
        <f>IF(COUNT(C15:E15)=0,"",AVERAGE(C15:E15))</f>
        <v/>
      </c>
    </row>
    <row r="16">
      <c r="A16" s="5" t="n">
        <v>12</v>
      </c>
      <c r="B16" s="6" t="inlineStr">
        <is>
          <t>Take off clamp and set aside</t>
        </is>
      </c>
      <c r="C16" s="5" t="n"/>
      <c r="D16" s="7" t="n"/>
      <c r="E16" s="5" t="n"/>
      <c r="F16" s="7" t="n"/>
      <c r="G16" s="5" t="n"/>
      <c r="H16" s="7" t="n"/>
      <c r="I16" s="5">
        <f>IF(COUNT(C16:E16)=0,"",AVERAGE(C16:E16))</f>
        <v/>
      </c>
    </row>
    <row r="17">
      <c r="A17" s="5" t="n">
        <v>13</v>
      </c>
      <c r="B17" s="6" t="inlineStr">
        <is>
          <t>Turn profile to gap side up</t>
        </is>
      </c>
      <c r="C17" s="5" t="n"/>
      <c r="D17" s="7" t="n"/>
      <c r="E17" s="5" t="n"/>
      <c r="F17" s="7" t="n"/>
      <c r="G17" s="5" t="n"/>
      <c r="H17" s="7" t="n"/>
      <c r="I17" s="5">
        <f>IF(COUNT(C17:E17)=0,"",AVERAGE(C17:E17))</f>
        <v/>
      </c>
    </row>
    <row r="18">
      <c r="A18" s="5" t="n">
        <v>14</v>
      </c>
      <c r="B18" s="6" t="inlineStr">
        <is>
          <t>Place profile</t>
        </is>
      </c>
      <c r="C18" s="5" t="inlineStr">
        <is>
          <t>1.55.01</t>
        </is>
      </c>
      <c r="D18" s="7" t="n">
        <v>1.760000000000005</v>
      </c>
      <c r="E18" s="5" t="inlineStr">
        <is>
          <t>6.16.24</t>
        </is>
      </c>
      <c r="F18" s="7" t="n">
        <v>1.079999999999984</v>
      </c>
      <c r="G18" s="5" t="n"/>
      <c r="H18" s="7" t="n"/>
      <c r="I18" s="5">
        <f>IF(COUNT(C18:E18)=0,"",AVERAGE(C18:E18))</f>
        <v/>
      </c>
    </row>
    <row r="19">
      <c r="A19" s="5" t="n">
        <v>15</v>
      </c>
      <c r="B19" s="6" t="inlineStr">
        <is>
          <t>Pick up second profile</t>
        </is>
      </c>
      <c r="C19" s="5" t="n"/>
      <c r="D19" s="7" t="n"/>
      <c r="E19" s="5" t="n"/>
      <c r="F19" s="7" t="n"/>
      <c r="G19" s="5" t="n"/>
      <c r="H19" s="7" t="n"/>
      <c r="I19" s="5">
        <f>IF(COUNT(C19:E19)=0,"",AVERAGE(C19:E19))</f>
        <v/>
      </c>
    </row>
    <row r="20">
      <c r="A20" s="5" t="n">
        <v>16</v>
      </c>
      <c r="B20" s="6" t="inlineStr">
        <is>
          <t>Turn sideways</t>
        </is>
      </c>
      <c r="C20" s="5" t="n"/>
      <c r="D20" s="7" t="n"/>
      <c r="E20" s="5" t="n"/>
      <c r="F20" s="7" t="n"/>
      <c r="G20" s="5" t="n"/>
      <c r="H20" s="7" t="n"/>
      <c r="I20" s="5">
        <f>IF(COUNT(C20:E20)=0,"",AVERAGE(C20:E20))</f>
        <v/>
      </c>
    </row>
    <row r="21">
      <c r="A21" s="5" t="n">
        <v>17</v>
      </c>
      <c r="B21" s="6" t="inlineStr">
        <is>
          <t>Place profile on clamp</t>
        </is>
      </c>
      <c r="C21" s="5" t="n"/>
      <c r="D21" s="7" t="n"/>
      <c r="E21" s="5" t="n"/>
      <c r="F21" s="7" t="n"/>
      <c r="G21" s="5" t="n"/>
      <c r="H21" s="7" t="n"/>
      <c r="I21" s="5">
        <f>IF(COUNT(C21:E21)=0,"",AVERAGE(C21:E21))</f>
        <v/>
      </c>
    </row>
    <row r="22">
      <c r="A22" s="5" t="n">
        <v>18</v>
      </c>
      <c r="B22" s="6" t="inlineStr">
        <is>
          <t>Place clamp bar on profile</t>
        </is>
      </c>
      <c r="C22" s="5" t="inlineStr">
        <is>
          <t>1.57.06</t>
        </is>
      </c>
      <c r="D22" s="7" t="n">
        <v>2.049999999999997</v>
      </c>
      <c r="E22" s="5" t="inlineStr">
        <is>
          <t>6.19.08</t>
        </is>
      </c>
      <c r="F22" s="7" t="n">
        <v>2.839999999999975</v>
      </c>
      <c r="G22" s="5" t="n"/>
      <c r="H22" s="7" t="n"/>
      <c r="I22" s="5">
        <f>IF(COUNT(C22:E22)=0,"",AVERAGE(C22:E22))</f>
        <v/>
      </c>
    </row>
    <row r="23">
      <c r="A23" s="5" t="n">
        <v>19</v>
      </c>
      <c r="B23" s="6" t="inlineStr">
        <is>
          <t>Take two steps away from press towards panel</t>
        </is>
      </c>
      <c r="C23" s="5" t="inlineStr">
        <is>
          <t>1.58.09</t>
        </is>
      </c>
      <c r="D23" s="7" t="n">
        <v>1.030000000000001</v>
      </c>
      <c r="E23" s="5" t="inlineStr">
        <is>
          <t>6.20.04</t>
        </is>
      </c>
      <c r="F23" s="7" t="n">
        <v>0.9600000000000364</v>
      </c>
      <c r="G23" s="5" t="n"/>
      <c r="H23" s="7" t="n"/>
      <c r="I23" s="5">
        <f>IF(COUNT(C23:E23)=0,"",AVERAGE(C23:E23))</f>
        <v/>
      </c>
    </row>
    <row r="24">
      <c r="A24" s="5" t="n">
        <v>20</v>
      </c>
      <c r="B24" s="6" t="inlineStr">
        <is>
          <t>Two hand to start the press</t>
        </is>
      </c>
      <c r="C24" s="5" t="n"/>
      <c r="D24" s="7" t="n"/>
      <c r="E24" s="5" t="n"/>
      <c r="F24" s="7" t="n"/>
      <c r="G24" s="5" t="n"/>
      <c r="H24" s="7" t="n"/>
      <c r="I24" s="5">
        <f>IF(COUNT(C24:E24)=0,"",AVERAGE(C24:E24))</f>
        <v/>
      </c>
    </row>
    <row r="25">
      <c r="A25" s="5" t="n">
        <v>21</v>
      </c>
      <c r="B25" s="6" t="inlineStr">
        <is>
          <t>Press wait</t>
        </is>
      </c>
      <c r="C25" s="5" t="inlineStr">
        <is>
          <t>1.59.17</t>
        </is>
      </c>
      <c r="D25" s="7" t="n">
        <v>1.079999999999998</v>
      </c>
      <c r="E25" s="5" t="inlineStr">
        <is>
          <t>6.22.02</t>
        </is>
      </c>
      <c r="F25" s="7" t="n">
        <v>1.979999999999961</v>
      </c>
      <c r="G25" s="5" t="n"/>
      <c r="H25" s="7" t="n"/>
      <c r="I25" s="5">
        <f>IF(COUNT(C25:E25)=0,"",AVERAGE(C25:E25))</f>
        <v/>
      </c>
    </row>
    <row r="26">
      <c r="A26" s="5" t="n">
        <v>22</v>
      </c>
      <c r="B26" s="6" t="inlineStr">
        <is>
          <t>Take two steps toward press</t>
        </is>
      </c>
      <c r="C26" s="5" t="inlineStr">
        <is>
          <t>2.1.8</t>
        </is>
      </c>
      <c r="D26" s="7" t="n">
        <v>1.909999999999997</v>
      </c>
      <c r="E26" s="5" t="inlineStr">
        <is>
          <t>6.23.06</t>
        </is>
      </c>
      <c r="F26" s="7" t="n">
        <v>1.04000000000002</v>
      </c>
      <c r="G26" s="5" t="n"/>
      <c r="H26" s="7" t="n"/>
      <c r="I26" s="5">
        <f>IF(COUNT(C26:E26)=0,"",AVERAGE(C26:E26))</f>
        <v/>
      </c>
    </row>
    <row r="27">
      <c r="A27" s="5" t="n">
        <v>23</v>
      </c>
      <c r="B27" s="6" t="inlineStr">
        <is>
          <t>Take off clamp and set aside</t>
        </is>
      </c>
      <c r="C27" s="5" t="n"/>
      <c r="D27" s="7" t="n"/>
      <c r="E27" s="5" t="n"/>
      <c r="F27" s="7" t="n"/>
      <c r="G27" s="5" t="n"/>
      <c r="H27" s="7" t="n"/>
      <c r="I27" s="5">
        <f>IF(COUNT(C27:E27)=0,"",AVERAGE(C27:E27))</f>
        <v/>
      </c>
    </row>
    <row r="28">
      <c r="A28" s="5" t="n">
        <v>24</v>
      </c>
      <c r="B28" s="6" t="inlineStr">
        <is>
          <t>Turn profile to gap side up</t>
        </is>
      </c>
      <c r="C28" s="5" t="n"/>
      <c r="D28" s="7" t="n"/>
      <c r="E28" s="5" t="n"/>
      <c r="F28" s="7" t="n"/>
      <c r="G28" s="5" t="n"/>
      <c r="H28" s="7" t="n"/>
      <c r="I28" s="5">
        <f>IF(COUNT(C28:E28)=0,"",AVERAGE(C28:E28))</f>
        <v/>
      </c>
    </row>
    <row r="29">
      <c r="A29" s="5" t="n">
        <v>25</v>
      </c>
      <c r="B29" s="6" t="inlineStr">
        <is>
          <t>Place profile</t>
        </is>
      </c>
      <c r="C29" s="5" t="inlineStr">
        <is>
          <t>2.2.13</t>
        </is>
      </c>
      <c r="D29" s="7" t="n">
        <v>1.049999999999997</v>
      </c>
      <c r="E29" s="5" t="inlineStr">
        <is>
          <t>6.24.23</t>
        </is>
      </c>
      <c r="F29" s="7" t="n">
        <v>1.170000000000016</v>
      </c>
      <c r="G29" s="5" t="n"/>
      <c r="H29" s="7" t="n"/>
      <c r="I29" s="5">
        <f>IF(COUNT(C29:E29)=0,"",AVERAGE(C29:E29))</f>
        <v/>
      </c>
    </row>
    <row r="30">
      <c r="A30" s="5" t="n">
        <v>26</v>
      </c>
      <c r="B30" s="6" t="inlineStr">
        <is>
          <t>Pick up third profile</t>
        </is>
      </c>
      <c r="C30" s="5" t="n"/>
      <c r="D30" s="7" t="n"/>
      <c r="E30" s="5" t="n"/>
      <c r="F30" s="7" t="n"/>
      <c r="G30" s="5" t="n"/>
      <c r="H30" s="7" t="n"/>
      <c r="I30" s="5">
        <f>IF(COUNT(C30:E30)=0,"",AVERAGE(C30:E30))</f>
        <v/>
      </c>
    </row>
    <row r="31">
      <c r="A31" s="5" t="n">
        <v>27</v>
      </c>
      <c r="B31" s="6" t="inlineStr">
        <is>
          <t>Turn sideways</t>
        </is>
      </c>
      <c r="C31" s="5" t="n"/>
      <c r="D31" s="7" t="n"/>
      <c r="E31" s="5" t="n"/>
      <c r="F31" s="7" t="n"/>
      <c r="G31" s="5" t="n"/>
      <c r="H31" s="7" t="n"/>
      <c r="I31" s="5">
        <f>IF(COUNT(C31:E31)=0,"",AVERAGE(C31:E31))</f>
        <v/>
      </c>
    </row>
    <row r="32">
      <c r="A32" s="5" t="n">
        <v>28</v>
      </c>
      <c r="B32" s="6" t="inlineStr">
        <is>
          <t>Place profile on clamp</t>
        </is>
      </c>
      <c r="C32" s="5" t="n"/>
      <c r="D32" s="7" t="n"/>
      <c r="E32" s="5" t="n"/>
      <c r="F32" s="7" t="n"/>
      <c r="G32" s="5" t="n"/>
      <c r="H32" s="7" t="n"/>
      <c r="I32" s="5">
        <f>IF(COUNT(C32:E32)=0,"",AVERAGE(C32:E32))</f>
        <v/>
      </c>
    </row>
    <row r="33">
      <c r="A33" s="5" t="n">
        <v>29</v>
      </c>
      <c r="B33" s="6" t="inlineStr">
        <is>
          <t>Place clamp bar on profile</t>
        </is>
      </c>
      <c r="C33" s="5" t="inlineStr">
        <is>
          <t>2.4.22</t>
        </is>
      </c>
      <c r="D33" s="7" t="n">
        <v>2.090000000000003</v>
      </c>
      <c r="E33" s="5" t="inlineStr">
        <is>
          <t>6.27.4</t>
        </is>
      </c>
      <c r="F33" s="7" t="n">
        <v>2.810000000000002</v>
      </c>
      <c r="G33" s="5" t="n"/>
      <c r="H33" s="7" t="n"/>
      <c r="I33" s="5">
        <f>IF(COUNT(C33:E33)=0,"",AVERAGE(C33:E33))</f>
        <v/>
      </c>
    </row>
    <row r="34">
      <c r="A34" s="5" t="n">
        <v>30</v>
      </c>
      <c r="B34" s="6" t="inlineStr">
        <is>
          <t>Take two steps away from press towards panel</t>
        </is>
      </c>
      <c r="C34" s="5" t="inlineStr">
        <is>
          <t xml:space="preserve">2.05.26 </t>
        </is>
      </c>
      <c r="D34" s="7" t="n">
        <v>1.040000000000006</v>
      </c>
      <c r="E34" s="5" t="inlineStr">
        <is>
          <t>6.28.16</t>
        </is>
      </c>
      <c r="F34" s="7" t="n">
        <v>1.120000000000005</v>
      </c>
      <c r="G34" s="5" t="n"/>
      <c r="H34" s="7" t="n"/>
      <c r="I34" s="5">
        <f>IF(COUNT(C34:E34)=0,"",AVERAGE(C34:E34))</f>
        <v/>
      </c>
    </row>
    <row r="35">
      <c r="A35" s="5" t="n">
        <v>31</v>
      </c>
      <c r="B35" s="6" t="inlineStr">
        <is>
          <t>Two hand to start the press</t>
        </is>
      </c>
      <c r="C35" s="5" t="n"/>
      <c r="D35" s="7" t="n"/>
      <c r="E35" s="5" t="n"/>
      <c r="F35" s="7" t="n"/>
      <c r="G35" s="5" t="n"/>
      <c r="H35" s="7" t="n"/>
      <c r="I35" s="5">
        <f>IF(COUNT(C35:E35)=0,"",AVERAGE(C35:E35))</f>
        <v/>
      </c>
    </row>
    <row r="36">
      <c r="A36" s="5" t="n">
        <v>32</v>
      </c>
      <c r="B36" s="6" t="inlineStr">
        <is>
          <t>Press wait</t>
        </is>
      </c>
      <c r="C36" s="5" t="inlineStr">
        <is>
          <t>2.07.22</t>
        </is>
      </c>
      <c r="D36" s="7" t="n">
        <v>1.959999999999994</v>
      </c>
      <c r="E36" s="5" t="inlineStr">
        <is>
          <t>6.33.10</t>
        </is>
      </c>
      <c r="F36" s="7" t="n">
        <v>4.939999999999998</v>
      </c>
      <c r="G36" s="5" t="n"/>
      <c r="H36" s="7" t="n"/>
      <c r="I36" s="5" t="n"/>
    </row>
    <row r="37">
      <c r="A37" s="5" t="n">
        <v>33</v>
      </c>
      <c r="B37" s="6" t="inlineStr">
        <is>
          <t>Take two steps towards press</t>
        </is>
      </c>
      <c r="C37" s="16" t="inlineStr">
        <is>
          <t>2.08.20</t>
        </is>
      </c>
      <c r="D37" s="7" t="n">
        <v>0.9799999999999898</v>
      </c>
      <c r="E37" s="5" t="inlineStr">
        <is>
          <t>6.34.4</t>
        </is>
      </c>
      <c r="F37" s="7" t="n">
        <v>0.9399999999999977</v>
      </c>
      <c r="G37" s="5" t="n"/>
      <c r="H37" s="7" t="n"/>
      <c r="I37" s="5" t="n"/>
    </row>
    <row r="38">
      <c r="A38" s="5" t="n">
        <v>34</v>
      </c>
      <c r="B38" s="6" t="inlineStr">
        <is>
          <t>Take off clamp bar and set aside</t>
        </is>
      </c>
      <c r="C38" s="5" t="inlineStr">
        <is>
          <t xml:space="preserve"> </t>
        </is>
      </c>
      <c r="D38" s="7" t="n"/>
      <c r="E38" s="5" t="n"/>
      <c r="F38" s="7" t="n"/>
      <c r="G38" s="5" t="n"/>
      <c r="H38" s="7" t="n"/>
      <c r="I38" s="5" t="n"/>
    </row>
    <row r="39">
      <c r="A39" s="5" t="n">
        <v>35</v>
      </c>
      <c r="B39" s="6" t="inlineStr">
        <is>
          <t>Turn profile to gap side up</t>
        </is>
      </c>
      <c r="C39" s="5" t="n"/>
      <c r="D39" s="7" t="n"/>
      <c r="E39" s="5" t="n"/>
      <c r="F39" s="7" t="n"/>
      <c r="G39" s="5" t="n"/>
      <c r="H39" s="7" t="n"/>
      <c r="I39" s="5">
        <f>IF(COUNT(C39:E39)=0,"",AVERAGE(C39:E39))</f>
        <v/>
      </c>
    </row>
    <row r="40">
      <c r="A40" s="5" t="n">
        <v>36</v>
      </c>
      <c r="B40" s="6" t="inlineStr">
        <is>
          <t xml:space="preserve">Place profile </t>
        </is>
      </c>
      <c r="C40" s="5" t="inlineStr">
        <is>
          <t>2.10.10</t>
        </is>
      </c>
      <c r="D40" s="7" t="n">
        <v>1.900000000000006</v>
      </c>
      <c r="E40" s="5" t="inlineStr">
        <is>
          <t>6.36.22</t>
        </is>
      </c>
      <c r="F40" s="7" t="n">
        <v>2.180000000000007</v>
      </c>
      <c r="G40" s="5" t="n"/>
      <c r="H40" s="7" t="n"/>
      <c r="I40" s="5" t="n"/>
    </row>
    <row r="41">
      <c r="A41" s="5" t="n">
        <v>37</v>
      </c>
      <c r="B41" s="6" t="inlineStr">
        <is>
          <t>Take gap measurement on profile 1</t>
        </is>
      </c>
      <c r="C41" s="5" t="inlineStr">
        <is>
          <t>2.13.10</t>
        </is>
      </c>
      <c r="D41" s="7" t="n">
        <v>3</v>
      </c>
      <c r="E41" s="5" t="inlineStr">
        <is>
          <t>6.38.21</t>
        </is>
      </c>
      <c r="F41" s="7" t="n">
        <v>1.989999999999952</v>
      </c>
      <c r="G41" s="5" t="n"/>
      <c r="H41" s="7" t="n"/>
      <c r="I41" s="5">
        <f>IF(COUNT(C41:E41)=0,"",AVERAGE(C41:E41))</f>
        <v/>
      </c>
    </row>
    <row r="42">
      <c r="A42" s="5" t="n"/>
      <c r="B42" s="6" t="inlineStr">
        <is>
          <t>Take gap measurement on profile 2</t>
        </is>
      </c>
      <c r="C42" s="5" t="inlineStr">
        <is>
          <t>2.14.3</t>
        </is>
      </c>
      <c r="D42" s="7" t="n">
        <v>0.9300000000000068</v>
      </c>
      <c r="E42" s="5" t="inlineStr">
        <is>
          <t>6.42.11</t>
        </is>
      </c>
      <c r="F42" s="7" t="n">
        <v>3.900000000000034</v>
      </c>
      <c r="G42" s="5" t="n"/>
      <c r="H42" s="7" t="n"/>
      <c r="I42" s="5" t="n"/>
    </row>
    <row r="43">
      <c r="A43" s="5" t="n">
        <v>38</v>
      </c>
      <c r="B43" s="6" t="inlineStr">
        <is>
          <t>Take gap measurement on profile 3</t>
        </is>
      </c>
      <c r="C43" s="5" t="inlineStr">
        <is>
          <t>2.15.25</t>
        </is>
      </c>
      <c r="D43" s="7" t="n">
        <v>1.219999999999999</v>
      </c>
      <c r="E43" s="5" t="inlineStr">
        <is>
          <t>6.43.08</t>
        </is>
      </c>
      <c r="F43" s="7" t="n">
        <v>0.9699999999999704</v>
      </c>
      <c r="G43" s="5" t="n"/>
      <c r="H43" s="7" t="n"/>
      <c r="I43" s="5">
        <f>IF(COUNT(C43:E43)=0,"",AVERAGE(C43:E43))</f>
        <v/>
      </c>
    </row>
    <row r="44">
      <c r="A44" s="5" t="n"/>
      <c r="B44" s="6" t="inlineStr">
        <is>
          <t xml:space="preserve">Secondary checks and hand adjusting </t>
        </is>
      </c>
      <c r="C44" s="5" t="inlineStr">
        <is>
          <t>2.31.18</t>
        </is>
      </c>
      <c r="D44" s="7" t="n">
        <v>15.93000000000001</v>
      </c>
      <c r="E44" s="5" t="inlineStr">
        <is>
          <t>6.54.22</t>
        </is>
      </c>
      <c r="F44" s="7" t="n">
        <v>11.14000000000004</v>
      </c>
      <c r="G44" s="5" t="n"/>
      <c r="H44" s="7" t="n"/>
      <c r="I44" s="5" t="n"/>
    </row>
    <row r="45">
      <c r="A45" s="5" t="n">
        <v>39</v>
      </c>
      <c r="B45" s="6" t="inlineStr">
        <is>
          <t>Pick up three profiles</t>
        </is>
      </c>
      <c r="C45" s="5" t="inlineStr">
        <is>
          <t>2.32.05</t>
        </is>
      </c>
      <c r="D45" s="7" t="n">
        <v>0.8700000000000045</v>
      </c>
      <c r="E45" s="5" t="inlineStr">
        <is>
          <t>6.55.25</t>
        </is>
      </c>
      <c r="F45" s="7" t="n">
        <v>1.029999999999973</v>
      </c>
      <c r="G45" s="5" t="n"/>
      <c r="H45" s="7" t="n"/>
      <c r="I45" s="5">
        <f>IF(COUNT(C45:E45)=0,"",AVERAGE(C45:E45))</f>
        <v/>
      </c>
    </row>
    <row r="46">
      <c r="A46" s="5" t="n">
        <v>40</v>
      </c>
      <c r="B46" s="6" t="inlineStr">
        <is>
          <t>Turn profile to gap side down</t>
        </is>
      </c>
      <c r="C46" s="5" t="n"/>
      <c r="D46" s="7" t="n"/>
      <c r="E46" s="5" t="n"/>
      <c r="F46" s="7" t="n"/>
      <c r="G46" s="5" t="n"/>
      <c r="H46" s="7" t="n"/>
      <c r="I46" s="5">
        <f>IF(COUNT(C46:E46)=0,"",AVERAGE(C46:E46))</f>
        <v/>
      </c>
    </row>
    <row r="47">
      <c r="A47" s="5" t="n">
        <v>41</v>
      </c>
      <c r="B47" s="6" t="inlineStr">
        <is>
          <t>Walk 4 steps to rack</t>
        </is>
      </c>
      <c r="C47" s="5" t="inlineStr">
        <is>
          <t>2.35.00</t>
        </is>
      </c>
      <c r="D47" s="7" t="n">
        <v>2.949999999999989</v>
      </c>
      <c r="E47" s="5" t="inlineStr">
        <is>
          <t>6.58.06</t>
        </is>
      </c>
      <c r="F47" s="7" t="n">
        <v>2.810000000000002</v>
      </c>
      <c r="G47" s="5" t="n"/>
      <c r="H47" s="7" t="n"/>
      <c r="I47" s="5">
        <f>IF(COUNT(C47:E47)=0,"",AVERAGE(C47:E47))</f>
        <v/>
      </c>
    </row>
    <row r="48">
      <c r="A48" s="5" t="n">
        <v>42</v>
      </c>
      <c r="B48" s="6" t="inlineStr">
        <is>
          <t>Place profile down</t>
        </is>
      </c>
      <c r="C48" s="5" t="inlineStr">
        <is>
          <t>2.37.03</t>
        </is>
      </c>
      <c r="D48" s="7" t="n">
        <v>2.030000000000001</v>
      </c>
      <c r="E48" s="5" t="inlineStr">
        <is>
          <t>6.59.18</t>
        </is>
      </c>
      <c r="F48" s="7" t="n">
        <v>1.120000000000005</v>
      </c>
      <c r="G48" s="5" t="n"/>
      <c r="H48" s="7" t="n"/>
      <c r="I48" s="5">
        <f>IF(COUNT(C48:E48)=0,"",AVERAGE(C48:E48))</f>
        <v/>
      </c>
    </row>
    <row r="49">
      <c r="A49" s="5" t="n">
        <v>43</v>
      </c>
      <c r="B49" s="6" t="inlineStr">
        <is>
          <t>Arrange profile</t>
        </is>
      </c>
      <c r="C49" s="5" t="n"/>
      <c r="D49" s="7" t="n"/>
      <c r="E49" s="5" t="n"/>
      <c r="F49" s="7" t="n"/>
      <c r="G49" s="5" t="n"/>
      <c r="H49" s="7" t="n"/>
      <c r="I49" s="5">
        <f>IF(COUNT(C49:E49)=0,"",AVERAGE(C49:E49))</f>
        <v/>
      </c>
    </row>
    <row r="50">
      <c r="A50" s="5" t="n">
        <v>44</v>
      </c>
      <c r="B50" s="6" t="inlineStr">
        <is>
          <t>Take two steps to rework bin</t>
        </is>
      </c>
      <c r="C50" s="5" t="n"/>
      <c r="D50" s="7" t="n"/>
      <c r="E50" s="5" t="inlineStr">
        <is>
          <t xml:space="preserve"> </t>
        </is>
      </c>
      <c r="F50" s="7" t="n"/>
      <c r="G50" s="5" t="n"/>
      <c r="H50" s="7" t="n"/>
      <c r="I50" s="5">
        <f>IF(COUNT(C50:E50)=0,"",AVERAGE(C50:E50))</f>
        <v/>
      </c>
    </row>
    <row r="51">
      <c r="D51" s="7" t="n"/>
      <c r="F51" s="7" t="n"/>
      <c r="H51" s="7" t="n"/>
    </row>
    <row r="52">
      <c r="A52" s="8" t="n"/>
      <c r="B52" s="9" t="inlineStr">
        <is>
          <t>TOTAL (Avg sec)</t>
        </is>
      </c>
      <c r="C52" s="8" t="n"/>
      <c r="D52" s="7" t="n"/>
      <c r="E52" s="8" t="n"/>
      <c r="F52" s="7" t="n"/>
      <c r="G52" s="8" t="n"/>
      <c r="H52" s="7" t="n"/>
      <c r="I52" s="10">
        <f>SUM(F5:F50)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35" topLeftCell="A36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2" customWidth="1" min="6" max="6"/>
  </cols>
  <sheetData>
    <row r="1" ht="18" customHeight="1">
      <c r="A1" s="15" t="inlineStr">
        <is>
          <t>Time Study</t>
        </is>
      </c>
    </row>
    <row r="2">
      <c r="A2" s="2" t="inlineStr">
        <is>
          <t>PROCESS ACTION</t>
        </is>
      </c>
    </row>
    <row r="3">
      <c r="A3" s="2" t="inlineStr">
        <is>
          <t>Rework Angel &amp; Gaganpreet — FOUR PROFILE PICK UP</t>
        </is>
      </c>
    </row>
    <row r="4">
      <c r="A4" s="3" t="inlineStr">
        <is>
          <t>Step #</t>
        </is>
      </c>
      <c r="B4" s="3" t="inlineStr">
        <is>
          <t>Action</t>
        </is>
      </c>
      <c r="C4" s="3" t="inlineStr">
        <is>
          <t>Trial 1 (sec)</t>
        </is>
      </c>
      <c r="D4" s="4" t="inlineStr">
        <is>
          <t>Duration (C)</t>
        </is>
      </c>
      <c r="E4" s="3" t="inlineStr">
        <is>
          <t>Trial 2 (sec)</t>
        </is>
      </c>
      <c r="F4" s="4" t="inlineStr">
        <is>
          <t>Duration (D)</t>
        </is>
      </c>
      <c r="G4" s="3" t="inlineStr">
        <is>
          <t>Trial 3 (sec)</t>
        </is>
      </c>
      <c r="H4" s="4" t="inlineStr">
        <is>
          <t>Duration (E)</t>
        </is>
      </c>
      <c r="I4" s="3" t="inlineStr">
        <is>
          <t>Avg (sec)</t>
        </is>
      </c>
    </row>
    <row r="5">
      <c r="A5" s="5" t="n">
        <v>1</v>
      </c>
      <c r="B5" s="6" t="inlineStr">
        <is>
          <t>Pick up four profiles</t>
        </is>
      </c>
      <c r="C5" s="5" t="n"/>
      <c r="D5" s="7" t="n"/>
      <c r="E5" s="5" t="n"/>
      <c r="F5" s="7" t="n"/>
      <c r="G5" s="5" t="n"/>
      <c r="H5" s="7" t="n"/>
      <c r="I5" s="5">
        <f>IF(COUNT(C5:E5)=0,"",AVERAGE(C5:E5))</f>
        <v/>
      </c>
    </row>
    <row r="6">
      <c r="A6" s="5" t="n">
        <v>2</v>
      </c>
      <c r="B6" s="6" t="inlineStr">
        <is>
          <t>Walk 4 steps to the press</t>
        </is>
      </c>
      <c r="C6" s="5" t="n"/>
      <c r="D6" s="7" t="n"/>
      <c r="E6" s="5" t="n"/>
      <c r="F6" s="7" t="n"/>
      <c r="G6" s="5" t="n"/>
      <c r="H6" s="7" t="n"/>
      <c r="I6" s="5">
        <f>IF(COUNT(C6:E6)=0,"",AVERAGE(C6:E6))</f>
        <v/>
      </c>
    </row>
    <row r="7">
      <c r="A7" s="5" t="n">
        <v>3</v>
      </c>
      <c r="B7" s="6" t="inlineStr">
        <is>
          <t>Turn profiles upside down</t>
        </is>
      </c>
      <c r="C7" s="5" t="n"/>
      <c r="D7" s="7" t="n"/>
      <c r="E7" s="5" t="n"/>
      <c r="F7" s="7" t="n"/>
      <c r="G7" s="5" t="n"/>
      <c r="H7" s="7" t="n"/>
      <c r="I7" s="5">
        <f>IF(COUNT(C7:E7)=0,"",AVERAGE(C7:E7))</f>
        <v/>
      </c>
    </row>
    <row r="8">
      <c r="A8" s="5" t="n">
        <v>4</v>
      </c>
      <c r="B8" s="6" t="inlineStr">
        <is>
          <t>Pick up first profile</t>
        </is>
      </c>
      <c r="C8" s="5" t="n"/>
      <c r="D8" s="7" t="n"/>
      <c r="E8" s="5" t="n"/>
      <c r="F8" s="7" t="n"/>
      <c r="G8" s="5" t="n"/>
      <c r="H8" s="7" t="n"/>
      <c r="I8" s="5">
        <f>IF(COUNT(C8:E8)=0,"",AVERAGE(C8:E8))</f>
        <v/>
      </c>
    </row>
    <row r="9">
      <c r="A9" s="5" t="n">
        <v>5</v>
      </c>
      <c r="B9" s="6" t="inlineStr">
        <is>
          <t>Turn first profile sideways</t>
        </is>
      </c>
      <c r="C9" s="5" t="n"/>
      <c r="D9" s="7" t="n"/>
      <c r="E9" s="5" t="n"/>
      <c r="F9" s="7" t="n"/>
      <c r="G9" s="5" t="n"/>
      <c r="H9" s="7" t="n"/>
      <c r="I9" s="5">
        <f>IF(COUNT(C9:E9)=0,"",AVERAGE(C9:E9))</f>
        <v/>
      </c>
    </row>
    <row r="10">
      <c r="A10" s="5" t="n">
        <v>6</v>
      </c>
      <c r="B10" s="6" t="inlineStr">
        <is>
          <t>Place profile</t>
        </is>
      </c>
      <c r="C10" s="5" t="n"/>
      <c r="D10" s="7" t="n"/>
      <c r="E10" s="5" t="n"/>
      <c r="F10" s="7" t="n"/>
      <c r="G10" s="5" t="n"/>
      <c r="H10" s="7" t="n"/>
      <c r="I10" s="5">
        <f>IF(COUNT(C10:E10)=0,"",AVERAGE(C10:E10))</f>
        <v/>
      </c>
    </row>
    <row r="11">
      <c r="A11" s="5" t="n">
        <v>7</v>
      </c>
      <c r="B11" s="6" t="inlineStr">
        <is>
          <t>Place clamp bar on profile</t>
        </is>
      </c>
      <c r="C11" s="5" t="n"/>
      <c r="D11" s="7" t="n"/>
      <c r="E11" s="5" t="n"/>
      <c r="F11" s="7" t="n"/>
      <c r="G11" s="5" t="n"/>
      <c r="H11" s="7" t="n"/>
      <c r="I11" s="5">
        <f>IF(COUNT(C11:E11)=0,"",AVERAGE(C11:E11))</f>
        <v/>
      </c>
    </row>
    <row r="12">
      <c r="A12" s="5" t="n">
        <v>8</v>
      </c>
      <c r="B12" s="6" t="inlineStr">
        <is>
          <t>Take two steps away from press towards panel</t>
        </is>
      </c>
      <c r="C12" s="5" t="n"/>
      <c r="D12" s="7" t="n"/>
      <c r="E12" s="5" t="n"/>
      <c r="F12" s="7" t="n"/>
      <c r="G12" s="5" t="n"/>
      <c r="H12" s="7" t="n"/>
      <c r="I12" s="5">
        <f>IF(COUNT(C12:E12)=0,"",AVERAGE(C12:E12))</f>
        <v/>
      </c>
    </row>
    <row r="13">
      <c r="A13" s="5" t="n">
        <v>9</v>
      </c>
      <c r="B13" s="6" t="inlineStr">
        <is>
          <t>Two hand to start the press</t>
        </is>
      </c>
      <c r="C13" s="5" t="n"/>
      <c r="D13" s="7" t="n"/>
      <c r="E13" s="5" t="n"/>
      <c r="F13" s="7" t="n"/>
      <c r="G13" s="5" t="n"/>
      <c r="H13" s="7" t="n"/>
      <c r="I13" s="5">
        <f>IF(COUNT(C13:E13)=0,"",AVERAGE(C13:E13))</f>
        <v/>
      </c>
    </row>
    <row r="14">
      <c r="A14" s="5" t="n">
        <v>10</v>
      </c>
      <c r="B14" s="6" t="inlineStr">
        <is>
          <t>Press wait</t>
        </is>
      </c>
      <c r="C14" s="5" t="n"/>
      <c r="D14" s="7" t="n"/>
      <c r="E14" s="5" t="n"/>
      <c r="F14" s="7" t="n"/>
      <c r="G14" s="5" t="n"/>
      <c r="H14" s="7" t="n"/>
      <c r="I14" s="5">
        <f>IF(COUNT(C14:E14)=0,"",AVERAGE(C14:E14))</f>
        <v/>
      </c>
    </row>
    <row r="15">
      <c r="A15" s="5" t="n">
        <v>11</v>
      </c>
      <c r="B15" s="6" t="inlineStr">
        <is>
          <t>Take two steps toward press</t>
        </is>
      </c>
      <c r="C15" s="5" t="n"/>
      <c r="D15" s="7" t="n"/>
      <c r="E15" s="5" t="n"/>
      <c r="F15" s="7" t="n"/>
      <c r="G15" s="5" t="n"/>
      <c r="H15" s="7" t="n"/>
      <c r="I15" s="5">
        <f>IF(COUNT(C15:E15)=0,"",AVERAGE(C15:E15))</f>
        <v/>
      </c>
    </row>
    <row r="16">
      <c r="A16" s="5" t="n">
        <v>12</v>
      </c>
      <c r="B16" s="6" t="inlineStr">
        <is>
          <t>Take off clamp and set aside</t>
        </is>
      </c>
      <c r="C16" s="5" t="n"/>
      <c r="D16" s="7" t="n"/>
      <c r="E16" s="5" t="n"/>
      <c r="F16" s="7" t="n"/>
      <c r="G16" s="5" t="n"/>
      <c r="H16" s="7" t="n"/>
      <c r="I16" s="5">
        <f>IF(COUNT(C16:E16)=0,"",AVERAGE(C16:E16))</f>
        <v/>
      </c>
    </row>
    <row r="17">
      <c r="A17" s="5" t="n">
        <v>13</v>
      </c>
      <c r="B17" s="6" t="inlineStr">
        <is>
          <t>Turn profile to gap side up</t>
        </is>
      </c>
      <c r="C17" s="5" t="n"/>
      <c r="D17" s="7" t="n"/>
      <c r="E17" s="5" t="n"/>
      <c r="F17" s="7" t="n"/>
      <c r="G17" s="5" t="n"/>
      <c r="H17" s="7" t="n"/>
      <c r="I17" s="5">
        <f>IF(COUNT(C17:E17)=0,"",AVERAGE(C17:E17))</f>
        <v/>
      </c>
    </row>
    <row r="18">
      <c r="A18" s="5" t="n">
        <v>14</v>
      </c>
      <c r="B18" s="6" t="inlineStr">
        <is>
          <t>Place profile</t>
        </is>
      </c>
      <c r="C18" s="5" t="n"/>
      <c r="D18" s="7" t="n"/>
      <c r="E18" s="5" t="n"/>
      <c r="F18" s="7" t="n"/>
      <c r="G18" s="5" t="n"/>
      <c r="H18" s="7" t="n"/>
      <c r="I18" s="5">
        <f>IF(COUNT(C18:E18)=0,"",AVERAGE(C18:E18))</f>
        <v/>
      </c>
    </row>
    <row r="19">
      <c r="A19" s="5" t="n">
        <v>15</v>
      </c>
      <c r="B19" s="6" t="inlineStr">
        <is>
          <t>Pick up second profile</t>
        </is>
      </c>
      <c r="C19" s="5" t="n"/>
      <c r="D19" s="7" t="n"/>
      <c r="E19" s="5" t="n"/>
      <c r="F19" s="7" t="n"/>
      <c r="G19" s="5" t="n"/>
      <c r="H19" s="7" t="n"/>
      <c r="I19" s="5">
        <f>IF(COUNT(C19:E19)=0,"",AVERAGE(C19:E19))</f>
        <v/>
      </c>
    </row>
    <row r="20">
      <c r="A20" s="5" t="n">
        <v>16</v>
      </c>
      <c r="B20" s="6" t="inlineStr">
        <is>
          <t>Turn sideways</t>
        </is>
      </c>
      <c r="C20" s="5" t="n"/>
      <c r="D20" s="7" t="n"/>
      <c r="E20" s="5" t="n"/>
      <c r="F20" s="7" t="n"/>
      <c r="G20" s="5" t="n"/>
      <c r="H20" s="7" t="n"/>
      <c r="I20" s="5">
        <f>IF(COUNT(C20:E20)=0,"",AVERAGE(C20:E20))</f>
        <v/>
      </c>
    </row>
    <row r="21">
      <c r="A21" s="5" t="n">
        <v>17</v>
      </c>
      <c r="B21" s="6" t="inlineStr">
        <is>
          <t>Place profile on clamp</t>
        </is>
      </c>
      <c r="C21" s="5" t="n"/>
      <c r="D21" s="7" t="n"/>
      <c r="E21" s="5" t="n"/>
      <c r="F21" s="7" t="n"/>
      <c r="G21" s="5" t="n"/>
      <c r="H21" s="7" t="n"/>
      <c r="I21" s="5">
        <f>IF(COUNT(C21:E21)=0,"",AVERAGE(C21:E21))</f>
        <v/>
      </c>
    </row>
    <row r="22">
      <c r="A22" s="5" t="n">
        <v>18</v>
      </c>
      <c r="B22" s="6" t="inlineStr">
        <is>
          <t>Place clamp bar on profile</t>
        </is>
      </c>
      <c r="C22" s="5" t="n"/>
      <c r="D22" s="7" t="n"/>
      <c r="E22" s="5" t="n"/>
      <c r="F22" s="7" t="n"/>
      <c r="G22" s="5" t="n"/>
      <c r="H22" s="7" t="n"/>
      <c r="I22" s="5">
        <f>IF(COUNT(C22:E22)=0,"",AVERAGE(C22:E22))</f>
        <v/>
      </c>
    </row>
    <row r="23">
      <c r="A23" s="5" t="n">
        <v>19</v>
      </c>
      <c r="B23" s="6" t="inlineStr">
        <is>
          <t>Take two steps away from press towards panel</t>
        </is>
      </c>
      <c r="C23" s="5" t="n"/>
      <c r="D23" s="7" t="n"/>
      <c r="E23" s="5" t="n"/>
      <c r="F23" s="7" t="n"/>
      <c r="G23" s="5" t="n"/>
      <c r="H23" s="7" t="n"/>
      <c r="I23" s="5">
        <f>IF(COUNT(C23:E23)=0,"",AVERAGE(C23:E23))</f>
        <v/>
      </c>
    </row>
    <row r="24">
      <c r="A24" s="5" t="n">
        <v>20</v>
      </c>
      <c r="B24" s="6" t="inlineStr">
        <is>
          <t>Two hand to start the press</t>
        </is>
      </c>
      <c r="C24" s="5" t="n"/>
      <c r="D24" s="7" t="n"/>
      <c r="E24" s="5" t="n"/>
      <c r="F24" s="7" t="n"/>
      <c r="G24" s="5" t="n"/>
      <c r="H24" s="7" t="n"/>
      <c r="I24" s="5">
        <f>IF(COUNT(C24:E24)=0,"",AVERAGE(C24:E24))</f>
        <v/>
      </c>
    </row>
    <row r="25">
      <c r="A25" s="5" t="n">
        <v>21</v>
      </c>
      <c r="B25" s="6" t="inlineStr">
        <is>
          <t>Press wait</t>
        </is>
      </c>
      <c r="C25" s="5" t="n"/>
      <c r="D25" s="7" t="n"/>
      <c r="E25" s="5" t="n"/>
      <c r="F25" s="7" t="n"/>
      <c r="G25" s="5" t="n"/>
      <c r="H25" s="7" t="n"/>
      <c r="I25" s="5">
        <f>IF(COUNT(C25:E25)=0,"",AVERAGE(C25:E25))</f>
        <v/>
      </c>
    </row>
    <row r="26">
      <c r="A26" s="5" t="n">
        <v>22</v>
      </c>
      <c r="B26" s="6" t="inlineStr">
        <is>
          <t>Take two steps toward press</t>
        </is>
      </c>
      <c r="C26" s="5" t="n"/>
      <c r="D26" s="7" t="n"/>
      <c r="E26" s="5" t="n"/>
      <c r="F26" s="7" t="n"/>
      <c r="G26" s="5" t="n"/>
      <c r="H26" s="7" t="n"/>
      <c r="I26" s="5">
        <f>IF(COUNT(C26:E26)=0,"",AVERAGE(C26:E26))</f>
        <v/>
      </c>
    </row>
    <row r="27">
      <c r="A27" s="5" t="n">
        <v>23</v>
      </c>
      <c r="B27" s="6" t="inlineStr">
        <is>
          <t>Take off clamp and set aside</t>
        </is>
      </c>
      <c r="C27" s="5" t="n"/>
      <c r="D27" s="7" t="n"/>
      <c r="E27" s="5" t="n"/>
      <c r="F27" s="7" t="n"/>
      <c r="G27" s="5" t="n"/>
      <c r="H27" s="7" t="n"/>
      <c r="I27" s="5">
        <f>IF(COUNT(C27:E27)=0,"",AVERAGE(C27:E27))</f>
        <v/>
      </c>
    </row>
    <row r="28">
      <c r="A28" s="5" t="n">
        <v>24</v>
      </c>
      <c r="B28" s="6" t="inlineStr">
        <is>
          <t>Turn profile to gap side up</t>
        </is>
      </c>
      <c r="C28" s="5" t="n"/>
      <c r="D28" s="7" t="n"/>
      <c r="E28" s="5" t="n"/>
      <c r="F28" s="7" t="n"/>
      <c r="G28" s="5" t="n"/>
      <c r="H28" s="7" t="n"/>
      <c r="I28" s="5">
        <f>IF(COUNT(C28:E28)=0,"",AVERAGE(C28:E28))</f>
        <v/>
      </c>
    </row>
    <row r="29">
      <c r="A29" s="5" t="n">
        <v>25</v>
      </c>
      <c r="B29" s="6" t="inlineStr">
        <is>
          <t>Place profile</t>
        </is>
      </c>
      <c r="C29" s="5" t="n"/>
      <c r="D29" s="7" t="n"/>
      <c r="E29" s="5" t="n"/>
      <c r="F29" s="7" t="n"/>
      <c r="G29" s="5" t="n"/>
      <c r="H29" s="7" t="n"/>
      <c r="I29" s="5">
        <f>IF(COUNT(C29:E29)=0,"",AVERAGE(C29:E29))</f>
        <v/>
      </c>
    </row>
    <row r="30">
      <c r="A30" s="5" t="n">
        <v>26</v>
      </c>
      <c r="B30" s="6" t="inlineStr">
        <is>
          <t>Pick up third profile</t>
        </is>
      </c>
      <c r="C30" s="5" t="n"/>
      <c r="D30" s="7" t="n"/>
      <c r="E30" s="5" t="n"/>
      <c r="F30" s="7" t="n"/>
      <c r="G30" s="5" t="n"/>
      <c r="H30" s="7" t="n"/>
      <c r="I30" s="5">
        <f>IF(COUNT(C30:E30)=0,"",AVERAGE(C30:E30))</f>
        <v/>
      </c>
    </row>
    <row r="31">
      <c r="A31" s="5" t="n">
        <v>27</v>
      </c>
      <c r="B31" s="6" t="inlineStr">
        <is>
          <t>Turn sideways</t>
        </is>
      </c>
      <c r="C31" s="5" t="n"/>
      <c r="D31" s="7" t="n"/>
      <c r="E31" s="5" t="n"/>
      <c r="F31" s="7" t="n"/>
      <c r="G31" s="5" t="n"/>
      <c r="H31" s="7" t="n"/>
      <c r="I31" s="5">
        <f>IF(COUNT(C31:E31)=0,"",AVERAGE(C31:E31))</f>
        <v/>
      </c>
    </row>
    <row r="32">
      <c r="A32" s="5" t="n">
        <v>28</v>
      </c>
      <c r="B32" s="6" t="inlineStr">
        <is>
          <t>Place profile on clamp</t>
        </is>
      </c>
      <c r="C32" s="5" t="n"/>
      <c r="D32" s="7" t="n"/>
      <c r="E32" s="5" t="n"/>
      <c r="F32" s="7" t="n"/>
      <c r="G32" s="5" t="n"/>
      <c r="H32" s="7" t="n"/>
      <c r="I32" s="5">
        <f>IF(COUNT(C32:E32)=0,"",AVERAGE(C32:E32))</f>
        <v/>
      </c>
    </row>
    <row r="33">
      <c r="A33" s="5" t="n">
        <v>29</v>
      </c>
      <c r="B33" s="6" t="inlineStr">
        <is>
          <t>Place clamp bar on profile</t>
        </is>
      </c>
      <c r="C33" s="5" t="n"/>
      <c r="D33" s="7" t="n"/>
      <c r="E33" s="5" t="n"/>
      <c r="F33" s="7" t="n"/>
      <c r="G33" s="5" t="n"/>
      <c r="H33" s="7" t="n"/>
      <c r="I33" s="5">
        <f>IF(COUNT(C33:E33)=0,"",AVERAGE(C33:E33))</f>
        <v/>
      </c>
    </row>
    <row r="34">
      <c r="A34" s="5" t="n">
        <v>30</v>
      </c>
      <c r="B34" s="6" t="inlineStr">
        <is>
          <t>Take two steps away from press towards panel</t>
        </is>
      </c>
      <c r="C34" s="5" t="n"/>
      <c r="D34" s="7" t="n"/>
      <c r="E34" s="5" t="n"/>
      <c r="F34" s="7" t="n"/>
      <c r="G34" s="5" t="n"/>
      <c r="H34" s="7" t="n"/>
      <c r="I34" s="5">
        <f>IF(COUNT(C34:E34)=0,"",AVERAGE(C34:E34))</f>
        <v/>
      </c>
    </row>
    <row r="35">
      <c r="A35" s="5" t="n">
        <v>31</v>
      </c>
      <c r="B35" s="6" t="inlineStr">
        <is>
          <t>Two hand to start the press</t>
        </is>
      </c>
      <c r="C35" s="5" t="n"/>
      <c r="D35" s="7" t="n"/>
      <c r="E35" s="5" t="n"/>
      <c r="F35" s="7" t="n"/>
      <c r="G35" s="5" t="n"/>
      <c r="H35" s="7" t="n"/>
      <c r="I35" s="5">
        <f>IF(COUNT(C35:E35)=0,"",AVERAGE(C35:E35))</f>
        <v/>
      </c>
    </row>
    <row r="36">
      <c r="A36" s="5" t="n">
        <v>32</v>
      </c>
      <c r="B36" s="6" t="inlineStr">
        <is>
          <t>Press wait</t>
        </is>
      </c>
      <c r="C36" s="5" t="n"/>
      <c r="D36" s="7" t="n"/>
      <c r="E36" s="5" t="n"/>
      <c r="F36" s="7" t="n"/>
      <c r="G36" s="5" t="n"/>
      <c r="H36" s="7" t="n"/>
      <c r="I36" s="5">
        <f>IF(COUNT(C36:E36)=0,"",AVERAGE(C36:E36))</f>
        <v/>
      </c>
    </row>
    <row r="37">
      <c r="A37" s="5" t="n">
        <v>33</v>
      </c>
      <c r="B37" s="6" t="inlineStr">
        <is>
          <t>Take two steps toward press</t>
        </is>
      </c>
      <c r="C37" s="5" t="n"/>
      <c r="D37" s="7" t="n"/>
      <c r="E37" s="5" t="n"/>
      <c r="F37" s="7" t="n"/>
      <c r="G37" s="5" t="n"/>
      <c r="H37" s="7" t="n"/>
      <c r="I37" s="5">
        <f>IF(COUNT(C37:E37)=0,"",AVERAGE(C37:E37))</f>
        <v/>
      </c>
    </row>
    <row r="38">
      <c r="A38" s="5" t="n">
        <v>34</v>
      </c>
      <c r="B38" s="6" t="inlineStr">
        <is>
          <t>Take off clamp and set aside</t>
        </is>
      </c>
      <c r="C38" s="5" t="n"/>
      <c r="D38" s="7" t="n"/>
      <c r="E38" s="5" t="n"/>
      <c r="F38" s="7" t="n"/>
      <c r="G38" s="5" t="n"/>
      <c r="H38" s="7" t="n"/>
      <c r="I38" s="5">
        <f>IF(COUNT(C38:E38)=0,"",AVERAGE(C38:E38))</f>
        <v/>
      </c>
    </row>
    <row r="39">
      <c r="A39" s="5" t="n">
        <v>35</v>
      </c>
      <c r="B39" s="6" t="inlineStr">
        <is>
          <t>Turn profile to gap side up</t>
        </is>
      </c>
      <c r="C39" s="5" t="n"/>
      <c r="D39" s="7" t="n"/>
      <c r="E39" s="5" t="n"/>
      <c r="F39" s="7" t="n"/>
      <c r="G39" s="5" t="n"/>
      <c r="H39" s="7" t="n"/>
      <c r="I39" s="5">
        <f>IF(COUNT(C39:E39)=0,"",AVERAGE(C39:E39))</f>
        <v/>
      </c>
    </row>
    <row r="40">
      <c r="A40" s="5" t="n">
        <v>36</v>
      </c>
      <c r="B40" s="6" t="inlineStr">
        <is>
          <t>Place profile</t>
        </is>
      </c>
      <c r="C40" s="5" t="n"/>
      <c r="D40" s="7" t="n"/>
      <c r="E40" s="5" t="n"/>
      <c r="F40" s="7" t="n"/>
      <c r="G40" s="5" t="n"/>
      <c r="H40" s="7" t="n"/>
      <c r="I40" s="5">
        <f>IF(COUNT(C40:E40)=0,"",AVERAGE(C40:E40))</f>
        <v/>
      </c>
    </row>
    <row r="41">
      <c r="A41" s="5" t="n">
        <v>37</v>
      </c>
      <c r="B41" s="6" t="inlineStr">
        <is>
          <t>Pick up fourth profile</t>
        </is>
      </c>
      <c r="C41" s="5" t="n"/>
      <c r="D41" s="7" t="n"/>
      <c r="E41" s="5" t="n"/>
      <c r="F41" s="7" t="n"/>
      <c r="G41" s="5" t="n"/>
      <c r="H41" s="7" t="n"/>
      <c r="I41" s="5">
        <f>IF(COUNT(C41:E41)=0,"",AVERAGE(C41:E41))</f>
        <v/>
      </c>
    </row>
    <row r="42">
      <c r="A42" s="5" t="n">
        <v>38</v>
      </c>
      <c r="B42" s="6" t="inlineStr">
        <is>
          <t>Turn sideways</t>
        </is>
      </c>
      <c r="C42" s="5" t="n"/>
      <c r="D42" s="7" t="n"/>
      <c r="E42" s="5" t="n"/>
      <c r="F42" s="7" t="n"/>
      <c r="G42" s="5" t="n"/>
      <c r="H42" s="7" t="n"/>
      <c r="I42" s="5">
        <f>IF(COUNT(C42:E42)=0,"",AVERAGE(C42:E42))</f>
        <v/>
      </c>
    </row>
    <row r="43">
      <c r="A43" s="5" t="n">
        <v>39</v>
      </c>
      <c r="B43" s="6" t="inlineStr">
        <is>
          <t>Place profile on clamp</t>
        </is>
      </c>
      <c r="C43" s="5" t="n"/>
      <c r="D43" s="7" t="n"/>
      <c r="E43" s="5" t="n"/>
      <c r="F43" s="7" t="n"/>
      <c r="G43" s="5" t="n"/>
      <c r="H43" s="7" t="n"/>
      <c r="I43" s="5">
        <f>IF(COUNT(C43:E43)=0,"",AVERAGE(C43:E43))</f>
        <v/>
      </c>
    </row>
    <row r="44">
      <c r="A44" s="5" t="n">
        <v>40</v>
      </c>
      <c r="B44" s="6" t="inlineStr">
        <is>
          <t>Place clamp bar on profile</t>
        </is>
      </c>
      <c r="C44" s="5" t="n"/>
      <c r="D44" s="7" t="n"/>
      <c r="E44" s="5" t="n"/>
      <c r="F44" s="7" t="n"/>
      <c r="G44" s="5" t="n"/>
      <c r="H44" s="7" t="n"/>
      <c r="I44" s="5">
        <f>IF(COUNT(C44:E44)=0,"",AVERAGE(C44:E44))</f>
        <v/>
      </c>
    </row>
    <row r="45">
      <c r="A45" s="5" t="n">
        <v>41</v>
      </c>
      <c r="B45" s="6" t="inlineStr">
        <is>
          <t>Take two steps away from press towards panel</t>
        </is>
      </c>
      <c r="C45" s="5" t="n"/>
      <c r="D45" s="7" t="n"/>
      <c r="E45" s="5" t="n"/>
      <c r="F45" s="7" t="n"/>
      <c r="G45" s="5" t="n"/>
      <c r="H45" s="7" t="n"/>
      <c r="I45" s="5">
        <f>IF(COUNT(C45:E45)=0,"",AVERAGE(C45:E45))</f>
        <v/>
      </c>
    </row>
    <row r="46">
      <c r="A46" s="5" t="n">
        <v>42</v>
      </c>
      <c r="B46" s="6" t="inlineStr">
        <is>
          <t>Two hand to start the press</t>
        </is>
      </c>
      <c r="C46" s="5" t="n"/>
      <c r="D46" s="7" t="n"/>
      <c r="E46" s="5" t="n"/>
      <c r="F46" s="7" t="n"/>
      <c r="G46" s="5" t="n"/>
      <c r="H46" s="7" t="n"/>
      <c r="I46" s="5">
        <f>IF(COUNT(C46:E46)=0,"",AVERAGE(C46:E46))</f>
        <v/>
      </c>
    </row>
    <row r="47">
      <c r="A47" s="5" t="n">
        <v>43</v>
      </c>
      <c r="B47" s="6" t="inlineStr">
        <is>
          <t>Press wait</t>
        </is>
      </c>
      <c r="C47" s="5" t="n"/>
      <c r="D47" s="7" t="n"/>
      <c r="E47" s="5" t="n"/>
      <c r="F47" s="7" t="n"/>
      <c r="G47" s="5" t="n"/>
      <c r="H47" s="7" t="n"/>
      <c r="I47" s="5">
        <f>IF(COUNT(C47:E47)=0,"",AVERAGE(C47:E47))</f>
        <v/>
      </c>
    </row>
    <row r="48">
      <c r="A48" s="5" t="n">
        <v>44</v>
      </c>
      <c r="B48" s="6" t="inlineStr">
        <is>
          <t>Take two steps toward press</t>
        </is>
      </c>
      <c r="C48" s="5" t="n"/>
      <c r="D48" s="7" t="n"/>
      <c r="E48" s="5" t="n"/>
      <c r="F48" s="7" t="n"/>
      <c r="G48" s="5" t="n"/>
      <c r="H48" s="7" t="n"/>
      <c r="I48" s="5">
        <f>IF(COUNT(C48:E48)=0,"",AVERAGE(C48:E48))</f>
        <v/>
      </c>
    </row>
    <row r="49">
      <c r="A49" s="5" t="n">
        <v>45</v>
      </c>
      <c r="B49" s="6" t="inlineStr">
        <is>
          <t>Take off clamp and set aside</t>
        </is>
      </c>
      <c r="C49" s="5" t="n"/>
      <c r="D49" s="7" t="n"/>
      <c r="E49" s="5" t="n"/>
      <c r="F49" s="7" t="n"/>
      <c r="G49" s="5" t="n"/>
      <c r="H49" s="7" t="n"/>
      <c r="I49" s="5">
        <f>IF(COUNT(C49:E49)=0,"",AVERAGE(C49:E49))</f>
        <v/>
      </c>
    </row>
    <row r="50">
      <c r="A50" s="5" t="n">
        <v>46</v>
      </c>
      <c r="B50" s="6" t="inlineStr">
        <is>
          <t>Turn profile to gap side up</t>
        </is>
      </c>
      <c r="C50" s="5" t="n"/>
      <c r="D50" s="7" t="n"/>
      <c r="E50" s="5" t="n"/>
      <c r="F50" s="7" t="n"/>
      <c r="G50" s="5" t="n"/>
      <c r="H50" s="7" t="n"/>
      <c r="I50" s="5">
        <f>IF(COUNT(C50:E50)=0,"",AVERAGE(C50:E50))</f>
        <v/>
      </c>
    </row>
    <row r="51">
      <c r="A51" s="5" t="n">
        <v>47</v>
      </c>
      <c r="B51" s="6" t="inlineStr">
        <is>
          <t>Place profile</t>
        </is>
      </c>
      <c r="C51" s="5" t="n"/>
      <c r="D51" s="7" t="n"/>
      <c r="E51" s="5" t="n"/>
      <c r="F51" s="7" t="n"/>
      <c r="G51" s="5" t="n"/>
      <c r="H51" s="7" t="n"/>
      <c r="I51" s="5">
        <f>IF(COUNT(C51:E51)=0,"",AVERAGE(C51:E51))</f>
        <v/>
      </c>
    </row>
    <row r="52">
      <c r="A52" s="5" t="n">
        <v>48</v>
      </c>
      <c r="B52" s="6" t="inlineStr">
        <is>
          <t>Take gap measurement on profile 1</t>
        </is>
      </c>
      <c r="C52" s="5" t="n"/>
      <c r="D52" s="7" t="n"/>
      <c r="E52" s="5" t="n"/>
      <c r="F52" s="7" t="n"/>
      <c r="G52" s="5" t="n"/>
      <c r="H52" s="7" t="n"/>
      <c r="I52" s="5">
        <f>IF(COUNT(C52:E52)=0,"",AVERAGE(C52:E52))</f>
        <v/>
      </c>
    </row>
    <row r="53">
      <c r="A53" s="5" t="n">
        <v>49</v>
      </c>
      <c r="B53" s="6" t="inlineStr">
        <is>
          <t>Take gap measurement on profile 2</t>
        </is>
      </c>
      <c r="C53" s="5" t="n"/>
      <c r="D53" s="7" t="n"/>
      <c r="E53" s="5" t="n"/>
      <c r="F53" s="7" t="n"/>
      <c r="G53" s="5" t="n"/>
      <c r="H53" s="7" t="n"/>
      <c r="I53" s="5">
        <f>IF(COUNT(C53:E53)=0,"",AVERAGE(C53:E53))</f>
        <v/>
      </c>
    </row>
    <row r="54">
      <c r="A54" s="5" t="n">
        <v>50</v>
      </c>
      <c r="B54" s="6" t="inlineStr">
        <is>
          <t>Pick up two profiles</t>
        </is>
      </c>
      <c r="C54" s="5" t="n"/>
      <c r="D54" s="7" t="n"/>
      <c r="E54" s="5" t="n"/>
      <c r="F54" s="7" t="n"/>
      <c r="G54" s="5" t="n"/>
      <c r="H54" s="7" t="n"/>
      <c r="I54" s="5">
        <f>IF(COUNT(C54:E54)=0,"",AVERAGE(C54:E54))</f>
        <v/>
      </c>
    </row>
    <row r="55">
      <c r="A55" s="5" t="n">
        <v>51</v>
      </c>
      <c r="B55" s="6" t="inlineStr">
        <is>
          <t>Turn profile to gap side down</t>
        </is>
      </c>
      <c r="C55" s="5" t="n"/>
      <c r="D55" s="7" t="n"/>
      <c r="E55" s="5" t="n"/>
      <c r="F55" s="7" t="n"/>
      <c r="G55" s="5" t="n"/>
      <c r="H55" s="7" t="n"/>
      <c r="I55" s="5">
        <f>IF(COUNT(C55:E55)=0,"",AVERAGE(C55:E55))</f>
        <v/>
      </c>
    </row>
    <row r="56">
      <c r="A56" s="5" t="n">
        <v>52</v>
      </c>
      <c r="B56" s="6" t="inlineStr">
        <is>
          <t>Walk 4 steps to rack</t>
        </is>
      </c>
      <c r="C56" s="5" t="n"/>
      <c r="D56" s="7" t="n"/>
      <c r="E56" s="5" t="n"/>
      <c r="F56" s="7" t="n"/>
      <c r="G56" s="5" t="n"/>
      <c r="H56" s="7" t="n"/>
      <c r="I56" s="5">
        <f>IF(COUNT(C56:E56)=0,"",AVERAGE(C56:E56))</f>
        <v/>
      </c>
    </row>
    <row r="57">
      <c r="A57" s="5" t="n">
        <v>53</v>
      </c>
      <c r="B57" s="6" t="inlineStr">
        <is>
          <t>Place profile down</t>
        </is>
      </c>
      <c r="C57" s="5" t="n"/>
      <c r="D57" s="7" t="n"/>
      <c r="E57" s="5" t="n"/>
      <c r="F57" s="7" t="n"/>
      <c r="G57" s="5" t="n"/>
      <c r="H57" s="7" t="n"/>
      <c r="I57" s="5">
        <f>IF(COUNT(C57:E57)=0,"",AVERAGE(C57:E57))</f>
        <v/>
      </c>
    </row>
    <row r="58">
      <c r="A58" s="5" t="n">
        <v>54</v>
      </c>
      <c r="B58" s="6" t="inlineStr">
        <is>
          <t>Arrange profile</t>
        </is>
      </c>
      <c r="C58" s="5" t="n"/>
      <c r="D58" s="7" t="n"/>
      <c r="E58" s="5" t="n"/>
      <c r="F58" s="7" t="n"/>
      <c r="G58" s="5" t="n"/>
      <c r="H58" s="7" t="n"/>
      <c r="I58" s="5">
        <f>IF(COUNT(C58:E58)=0,"",AVERAGE(C58:E58))</f>
        <v/>
      </c>
    </row>
    <row r="59">
      <c r="A59" s="5" t="n">
        <v>55</v>
      </c>
      <c r="B59" s="6" t="inlineStr">
        <is>
          <t>Take two steps to rework bin</t>
        </is>
      </c>
      <c r="C59" s="5" t="n"/>
      <c r="D59" s="7" t="n"/>
      <c r="E59" s="5" t="n"/>
      <c r="F59" s="7" t="n"/>
      <c r="G59" s="5" t="n"/>
      <c r="H59" s="7" t="n"/>
      <c r="I59" s="5">
        <f>IF(COUNT(C59:E59)=0,"",AVERAGE(C59:E59))</f>
        <v/>
      </c>
    </row>
    <row r="60">
      <c r="D60" s="7" t="n"/>
      <c r="F60" s="7" t="n"/>
      <c r="H60" s="7" t="n"/>
    </row>
    <row r="61">
      <c r="A61" s="8" t="n"/>
      <c r="B61" s="9" t="inlineStr">
        <is>
          <t>TOTAL (Avg sec)</t>
        </is>
      </c>
      <c r="C61" s="8" t="n"/>
      <c r="D61" s="7" t="n"/>
      <c r="E61" s="8" t="n"/>
      <c r="F61" s="7" t="n"/>
      <c r="G61" s="8" t="n"/>
      <c r="H61" s="7" t="n"/>
      <c r="I61" s="10">
        <f>SUM(F5:F59)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2" customWidth="1" min="6" max="6"/>
  </cols>
  <sheetData>
    <row r="1" ht="18" customHeight="1">
      <c r="A1" s="15" t="inlineStr">
        <is>
          <t>Time Study</t>
        </is>
      </c>
    </row>
    <row r="2">
      <c r="A2" s="2" t="inlineStr">
        <is>
          <t>PROCESS ACTION</t>
        </is>
      </c>
    </row>
    <row r="3">
      <c r="A3" s="2" t="inlineStr">
        <is>
          <t>TWIST INSPECTION</t>
        </is>
      </c>
    </row>
    <row r="4">
      <c r="A4" s="3" t="inlineStr">
        <is>
          <t>Step #</t>
        </is>
      </c>
      <c r="B4" s="3" t="inlineStr">
        <is>
          <t>Action</t>
        </is>
      </c>
      <c r="C4" s="3" t="inlineStr">
        <is>
          <t>Trial 1 (sec)</t>
        </is>
      </c>
      <c r="D4" s="4" t="inlineStr">
        <is>
          <t>Duration (C)</t>
        </is>
      </c>
      <c r="E4" s="3" t="inlineStr">
        <is>
          <t>Trial 2 (sec)</t>
        </is>
      </c>
      <c r="F4" s="4" t="inlineStr">
        <is>
          <t>Duration (D)</t>
        </is>
      </c>
      <c r="G4" s="3" t="inlineStr">
        <is>
          <t>Trial 3 (sec)</t>
        </is>
      </c>
      <c r="H4" s="4" t="inlineStr">
        <is>
          <t>Duration (E)</t>
        </is>
      </c>
      <c r="I4" s="3" t="inlineStr">
        <is>
          <t>Avg (sec)</t>
        </is>
      </c>
    </row>
    <row r="5">
      <c r="A5" s="5" t="n">
        <v>1</v>
      </c>
      <c r="B5" s="6" t="inlineStr">
        <is>
          <t>Pick up profile</t>
        </is>
      </c>
      <c r="C5" s="5" t="n"/>
      <c r="D5" s="7" t="n"/>
      <c r="E5" s="5" t="n"/>
      <c r="F5" s="7" t="n"/>
      <c r="G5" s="5" t="n"/>
      <c r="H5" s="7" t="n"/>
      <c r="I5" s="5">
        <f>IF(COUNT(C5:E5)=0,"",AVERAGE(C5:E5))</f>
        <v/>
      </c>
    </row>
    <row r="6">
      <c r="A6" s="5" t="n">
        <v>2</v>
      </c>
      <c r="B6" s="6" t="inlineStr">
        <is>
          <t>Take a step towards inspection bench</t>
        </is>
      </c>
      <c r="C6" s="5" t="n"/>
      <c r="D6" s="7" t="n"/>
      <c r="E6" s="5" t="n"/>
      <c r="F6" s="7" t="n"/>
      <c r="G6" s="5" t="n"/>
      <c r="H6" s="7" t="n"/>
      <c r="I6" s="5">
        <f>IF(COUNT(C6:E6)=0,"",AVERAGE(C6:E6))</f>
        <v/>
      </c>
    </row>
    <row r="7">
      <c r="A7" s="5" t="n">
        <v>3</v>
      </c>
      <c r="B7" s="6" t="inlineStr">
        <is>
          <t>First person places profile in fixed track</t>
        </is>
      </c>
      <c r="C7" s="5" t="n"/>
      <c r="D7" s="7" t="n"/>
      <c r="E7" s="5" t="n"/>
      <c r="F7" s="7" t="n"/>
      <c r="G7" s="5" t="n"/>
      <c r="H7" s="7" t="n"/>
      <c r="I7" s="5">
        <f>IF(COUNT(C7:E7)=0,"",AVERAGE(C7:E7))</f>
        <v/>
      </c>
    </row>
    <row r="8">
      <c r="A8" s="5" t="n">
        <v>4</v>
      </c>
      <c r="B8" s="6" t="inlineStr">
        <is>
          <t>Second person sets profile down</t>
        </is>
      </c>
      <c r="C8" s="5" t="n"/>
      <c r="D8" s="7" t="n"/>
      <c r="E8" s="5" t="n"/>
      <c r="F8" s="7" t="n"/>
      <c r="G8" s="5" t="n"/>
      <c r="H8" s="7" t="n"/>
      <c r="I8" s="5">
        <f>IF(COUNT(C8:E8)=0,"",AVERAGE(C8:E8))</f>
        <v/>
      </c>
    </row>
    <row r="9">
      <c r="A9" s="5" t="n">
        <v>5</v>
      </c>
      <c r="B9" s="6" t="inlineStr">
        <is>
          <t>First person holds down profile</t>
        </is>
      </c>
      <c r="C9" s="5" t="n"/>
      <c r="D9" s="7" t="n"/>
      <c r="E9" s="5" t="n"/>
      <c r="F9" s="7" t="n"/>
      <c r="G9" s="5" t="n"/>
      <c r="H9" s="7" t="n"/>
      <c r="I9" s="5">
        <f>IF(COUNT(C9:E9)=0,"",AVERAGE(C9:E9))</f>
        <v/>
      </c>
    </row>
    <row r="10">
      <c r="A10" s="5" t="n">
        <v>6</v>
      </c>
      <c r="B10" s="6" t="inlineStr">
        <is>
          <t>Second person slides movable track along profile</t>
        </is>
      </c>
      <c r="C10" s="5" t="n"/>
      <c r="D10" s="7" t="n"/>
      <c r="E10" s="5" t="n"/>
      <c r="F10" s="7" t="n"/>
      <c r="G10" s="5" t="n"/>
      <c r="H10" s="7" t="n"/>
      <c r="I10" s="5">
        <f>IF(COUNT(C10:E10)=0,"",AVERAGE(C10:E10))</f>
        <v/>
      </c>
    </row>
    <row r="11">
      <c r="A11" s="5" t="n">
        <v>7</v>
      </c>
      <c r="B11" s="6" t="inlineStr">
        <is>
          <t>Second person sets track aside</t>
        </is>
      </c>
      <c r="C11" s="5" t="n"/>
      <c r="D11" s="7" t="n"/>
      <c r="E11" s="5" t="n"/>
      <c r="F11" s="7" t="n"/>
      <c r="G11" s="5" t="n"/>
      <c r="H11" s="7" t="n"/>
      <c r="I11" s="5">
        <f>IF(COUNT(C11:E11)=0,"",AVERAGE(C11:E11))</f>
        <v/>
      </c>
    </row>
    <row r="12">
      <c r="A12" s="5" t="n">
        <v>8</v>
      </c>
      <c r="B12" s="6" t="inlineStr">
        <is>
          <t>First person and second pick profile</t>
        </is>
      </c>
      <c r="C12" s="5" t="n"/>
      <c r="D12" s="7" t="n"/>
      <c r="E12" s="5" t="n"/>
      <c r="F12" s="7" t="n"/>
      <c r="G12" s="5" t="n"/>
      <c r="H12" s="7" t="n"/>
      <c r="I12" s="5">
        <f>IF(COUNT(C12:E12)=0,"",AVERAGE(C12:E12))</f>
        <v/>
      </c>
    </row>
    <row r="13">
      <c r="A13" s="5" t="n">
        <v>9</v>
      </c>
      <c r="B13" s="6" t="inlineStr">
        <is>
          <t>Walk two steps – place profile on bin</t>
        </is>
      </c>
      <c r="C13" s="5" t="n"/>
      <c r="D13" s="7" t="n"/>
      <c r="E13" s="5" t="n"/>
      <c r="F13" s="7" t="n"/>
      <c r="G13" s="5" t="n"/>
      <c r="H13" s="7" t="n"/>
      <c r="I13" s="5">
        <f>IF(COUNT(C13:E13)=0,"",AVERAGE(C13:E13))</f>
        <v/>
      </c>
    </row>
    <row r="14">
      <c r="A14" s="5" t="n">
        <v>10</v>
      </c>
      <c r="B14" s="6" t="inlineStr">
        <is>
          <t>Arrange profile on pass bin</t>
        </is>
      </c>
      <c r="C14" s="5" t="n"/>
      <c r="D14" s="7" t="n"/>
      <c r="E14" s="5" t="n"/>
      <c r="F14" s="7" t="n"/>
      <c r="G14" s="5" t="n"/>
      <c r="H14" s="7" t="n"/>
      <c r="I14" s="5">
        <f>IF(COUNT(C14:E14)=0,"",AVERAGE(C14:E14))</f>
        <v/>
      </c>
    </row>
    <row r="15">
      <c r="A15" s="5" t="n">
        <v>11</v>
      </c>
      <c r="B15" s="6" t="inlineStr">
        <is>
          <t>Take a step towards inspection bin</t>
        </is>
      </c>
      <c r="C15" s="5" t="n"/>
      <c r="D15" s="7" t="n"/>
      <c r="E15" s="5" t="n"/>
      <c r="F15" s="7" t="n"/>
      <c r="G15" s="5" t="n"/>
      <c r="H15" s="7" t="n"/>
      <c r="I15" s="5">
        <f>IF(COUNT(C15:E15)=0,"",AVERAGE(C15:E15))</f>
        <v/>
      </c>
    </row>
    <row r="16">
      <c r="A16" s="5" t="n">
        <v>12</v>
      </c>
      <c r="B16" s="6" t="inlineStr">
        <is>
          <t>Cycle starts</t>
        </is>
      </c>
      <c r="C16" s="5" t="n"/>
      <c r="D16" s="7" t="n"/>
      <c r="E16" s="5" t="n"/>
      <c r="F16" s="7" t="n"/>
      <c r="G16" s="5" t="n"/>
      <c r="H16" s="7" t="n"/>
      <c r="I16" s="5">
        <f>IF(COUNT(C16:E16)=0,"",AVERAGE(C16:E16))</f>
        <v/>
      </c>
    </row>
    <row r="17">
      <c r="A17" s="5" t="n">
        <v>13</v>
      </c>
      <c r="B17" s="17" t="inlineStr">
        <is>
          <t xml:space="preserve">After each row: </t>
        </is>
      </c>
      <c r="C17" s="5" t="n"/>
      <c r="D17" s="7" t="n"/>
      <c r="E17" s="5" t="n"/>
      <c r="F17" s="7" t="n"/>
      <c r="G17" s="5" t="n"/>
      <c r="H17" s="7" t="n"/>
      <c r="I17" s="5">
        <f>IF(COUNT(C17:E17)=0,"",AVERAGE(C17:E17))</f>
        <v/>
      </c>
    </row>
    <row r="18">
      <c r="A18" s="5" t="n">
        <v>14</v>
      </c>
      <c r="B18" s="6" t="inlineStr">
        <is>
          <t>take towards inspection bin</t>
        </is>
      </c>
      <c r="C18" s="5" t="n"/>
      <c r="D18" s="7" t="n"/>
      <c r="E18" s="5" t="n"/>
      <c r="F18" s="7" t="n"/>
      <c r="G18" s="5" t="n"/>
      <c r="H18" s="7" t="n"/>
      <c r="I18" s="5" t="n"/>
    </row>
    <row r="19">
      <c r="A19" s="5" t="n">
        <v>15</v>
      </c>
      <c r="B19" s="6" t="inlineStr">
        <is>
          <t>Pick up Normex spacers (both inspectors)</t>
        </is>
      </c>
      <c r="C19" s="5" t="n"/>
      <c r="D19" s="7" t="n"/>
      <c r="E19" s="5" t="n"/>
      <c r="F19" s="7" t="n"/>
      <c r="G19" s="5" t="n"/>
      <c r="H19" s="7" t="n"/>
      <c r="I19" s="5">
        <f>IF(COUNT(C19:E19)=0,"",AVERAGE(C19:E19))</f>
        <v/>
      </c>
    </row>
    <row r="20">
      <c r="A20" s="5" t="n">
        <v>16</v>
      </c>
      <c r="B20" s="6" t="inlineStr">
        <is>
          <t>Take a step towards pass bin</t>
        </is>
      </c>
      <c r="C20" s="5" t="n"/>
      <c r="D20" s="7" t="n"/>
      <c r="E20" s="5" t="n"/>
      <c r="F20" s="7" t="n"/>
      <c r="G20" s="5" t="n"/>
      <c r="H20" s="7" t="n"/>
      <c r="I20" s="5">
        <f>IF(COUNT(C20:E20)=0,"",AVERAGE(C20:E20))</f>
        <v/>
      </c>
    </row>
    <row r="21">
      <c r="A21" s="5" t="n">
        <v>17</v>
      </c>
      <c r="B21" s="6" t="inlineStr">
        <is>
          <t>Place spacers on bins</t>
        </is>
      </c>
      <c r="C21" s="5" t="n"/>
      <c r="D21" s="7" t="n"/>
      <c r="E21" s="5" t="n"/>
      <c r="F21" s="7" t="n"/>
      <c r="G21" s="5" t="n"/>
      <c r="H21" s="7" t="n"/>
      <c r="I21" s="5">
        <f>IF(COUNT(C21:E21)=0,"",AVERAGE(C21:E21))</f>
        <v/>
      </c>
    </row>
    <row r="22">
      <c r="A22" s="5" t="n">
        <v>18</v>
      </c>
      <c r="B22" s="6" t="inlineStr">
        <is>
          <t>Take a step towards inspection bins</t>
        </is>
      </c>
      <c r="C22" s="5" t="n"/>
      <c r="D22" s="7" t="n"/>
      <c r="E22" s="5" t="n"/>
      <c r="F22" s="7" t="n"/>
      <c r="G22" s="5" t="n"/>
      <c r="H22" s="7" t="n"/>
      <c r="I22" s="5">
        <f>IF(COUNT(C22:E22)=0,"",AVERAGE(C22:E22))</f>
        <v/>
      </c>
    </row>
    <row r="23">
      <c r="A23" s="5" t="n">
        <v>19</v>
      </c>
      <c r="B23" s="6" t="inlineStr">
        <is>
          <t>Cycle continues</t>
        </is>
      </c>
      <c r="C23" s="5" t="n"/>
      <c r="D23" s="7" t="n"/>
      <c r="E23" s="5" t="n"/>
      <c r="F23" s="7" t="n"/>
      <c r="G23" s="5" t="n"/>
      <c r="H23" s="7" t="n"/>
      <c r="I23" s="5">
        <f>IF(COUNT(C23:E23)=0,"",AVERAGE(C23:E23))</f>
        <v/>
      </c>
    </row>
    <row r="24">
      <c r="A24" s="5" t="n">
        <v>20</v>
      </c>
      <c r="B24" s="17" t="inlineStr">
        <is>
          <t>After a bin is complete</t>
        </is>
      </c>
      <c r="C24" s="5" t="n"/>
      <c r="D24" s="7" t="n"/>
      <c r="E24" s="5" t="n"/>
      <c r="F24" s="7" t="n"/>
      <c r="G24" s="5" t="n"/>
      <c r="H24" s="7" t="n"/>
      <c r="I24" s="5">
        <f>IF(COUNT(C24:E24)=0,"",AVERAGE(C24:E24))</f>
        <v/>
      </c>
    </row>
    <row r="25">
      <c r="A25" s="5" t="n">
        <v>21</v>
      </c>
      <c r="B25" s="6" t="inlineStr">
        <is>
          <t xml:space="preserve"> one inspector picks up corrugated sheet</t>
        </is>
      </c>
      <c r="C25" s="5" t="n"/>
      <c r="D25" s="7" t="n"/>
      <c r="E25" s="5" t="n"/>
      <c r="F25" s="7" t="n"/>
      <c r="G25" s="5" t="n"/>
      <c r="H25" s="7" t="n"/>
      <c r="I25" s="5" t="n"/>
    </row>
    <row r="26">
      <c r="A26" s="5" t="n">
        <v>22</v>
      </c>
      <c r="B26" s="6" t="inlineStr">
        <is>
          <t>Second inspector pulls stapper cable</t>
        </is>
      </c>
      <c r="C26" s="5" t="n"/>
      <c r="D26" s="7" t="n"/>
      <c r="E26" s="5" t="n"/>
      <c r="F26" s="7" t="n"/>
      <c r="G26" s="5" t="n"/>
      <c r="H26" s="7" t="n"/>
      <c r="I26" s="5">
        <f>IF(COUNT(C26:E26)=0,"",AVERAGE(C26:E26))</f>
        <v/>
      </c>
    </row>
    <row r="27">
      <c r="A27" s="5" t="n">
        <v>23</v>
      </c>
      <c r="B27" s="6" t="inlineStr">
        <is>
          <t>Both operators set up</t>
        </is>
      </c>
      <c r="C27" s="5" t="n"/>
      <c r="D27" s="7" t="n"/>
      <c r="E27" s="5" t="n"/>
      <c r="F27" s="7" t="n"/>
      <c r="G27" s="5" t="n"/>
      <c r="H27" s="7" t="n"/>
      <c r="I27" s="5">
        <f>IF(COUNT(C27:E27)=0,"",AVERAGE(C27:E27))</f>
        <v/>
      </c>
    </row>
    <row r="28">
      <c r="D28" s="7" t="n"/>
      <c r="F28" s="7" t="n"/>
      <c r="H28" s="7" t="n"/>
    </row>
    <row r="29">
      <c r="A29" s="8" t="n"/>
      <c r="B29" s="9" t="inlineStr">
        <is>
          <t>TOTAL (Avg sec)</t>
        </is>
      </c>
      <c r="C29" s="8" t="n"/>
      <c r="D29" s="7" t="n"/>
      <c r="E29" s="8" t="n"/>
      <c r="F29" s="7" t="n"/>
      <c r="G29" s="8" t="n"/>
      <c r="H29" s="7" t="n"/>
      <c r="I29" s="10">
        <f>SUM(F5:F27)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2026-02-11T05:13:48Z</dcterms:created>
  <dcterms:modified xmlns:dcterms="http://purl.org/dc/terms/" xmlns:xsi="http://www.w3.org/2001/XMLSchema-instance" xsi:type="dcterms:W3CDTF">2026-02-11T05:13:49Z</dcterms:modified>
</cp:coreProperties>
</file>